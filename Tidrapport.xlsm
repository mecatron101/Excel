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gbw9061118.got.volvocars.net\PBJORK3$\Data\Makron\Excel\"/>
    </mc:Choice>
  </mc:AlternateContent>
  <bookViews>
    <workbookView xWindow="0" yWindow="0" windowWidth="28800" windowHeight="12216"/>
  </bookViews>
  <sheets>
    <sheet name="Mars 2018" sheetId="7" r:id="rId1"/>
    <sheet name="Interna mil" sheetId="15" r:id="rId2"/>
  </sheets>
  <externalReferences>
    <externalReference r:id="rId3"/>
  </externalReferences>
  <definedNames>
    <definedName name="anstnr">'Mars 2018'!$F$3:$I$6</definedName>
    <definedName name="anstnr_2">'Interna mil'!$H$2</definedName>
    <definedName name="b2b">'Mars 2018'!$G$47</definedName>
    <definedName name="chef">'Mars 2018'!$J$2:$M$3</definedName>
    <definedName name="kund">'[1]Interna mil'!$D$7</definedName>
    <definedName name="_xlnm.Print_Area" localSheetId="1">'Interna mil'!$A$1:$L$45</definedName>
    <definedName name="_xlnm.Print_Area" localSheetId="0">'Mars 2018'!$A$1:$P$56</definedName>
    <definedName name="projek_tid">'Mars 2018'!$A$43</definedName>
    <definedName name="projekt">'[1]Interna mil'!$H$7:$I$9</definedName>
    <definedName name="underskrift">'Mars 2018'!$H$55</definedName>
    <definedName name="underskrift_2">'Interna mil'!$D$45</definedName>
    <definedName name="uppdrag">'Mars 2018'!$J$5</definedName>
  </definedNames>
  <calcPr calcId="152511"/>
</workbook>
</file>

<file path=xl/calcChain.xml><?xml version="1.0" encoding="utf-8"?>
<calcChain xmlns="http://schemas.openxmlformats.org/spreadsheetml/2006/main">
  <c r="O39" i="7" l="1"/>
  <c r="C40" i="7"/>
  <c r="I38" i="7"/>
  <c r="F38" i="7"/>
  <c r="AD38" i="7"/>
  <c r="AE38" i="7" s="1"/>
  <c r="AC38" i="7"/>
  <c r="AB38" i="7"/>
  <c r="Z38" i="7" s="1"/>
  <c r="AA38" i="7"/>
  <c r="Q38" i="7"/>
  <c r="P38" i="7"/>
  <c r="R38" i="7" s="1"/>
  <c r="S38" i="7" s="1"/>
  <c r="L38" i="7"/>
  <c r="AD39" i="7"/>
  <c r="AE39" i="7" s="1"/>
  <c r="AC39" i="7"/>
  <c r="AB39" i="7"/>
  <c r="AA39" i="7"/>
  <c r="Z39" i="7" s="1"/>
  <c r="P39" i="7"/>
  <c r="Q39" i="7" s="1"/>
  <c r="L39" i="7"/>
  <c r="I39" i="7"/>
  <c r="AD37" i="7"/>
  <c r="AE37" i="7" s="1"/>
  <c r="AC37" i="7"/>
  <c r="AB37" i="7"/>
  <c r="AA37" i="7"/>
  <c r="Z37" i="7"/>
  <c r="Y37" i="7"/>
  <c r="P37" i="7"/>
  <c r="Q37" i="7" s="1"/>
  <c r="I37" i="7"/>
  <c r="H37" i="7"/>
  <c r="AD36" i="7"/>
  <c r="AE36" i="7" s="1"/>
  <c r="AF36" i="7" s="1"/>
  <c r="AG36" i="7" s="1"/>
  <c r="AC36" i="7"/>
  <c r="AB36" i="7"/>
  <c r="AA36" i="7"/>
  <c r="Z36" i="7" s="1"/>
  <c r="Y36" i="7"/>
  <c r="Q36" i="7"/>
  <c r="T36" i="7" s="1"/>
  <c r="P36" i="7"/>
  <c r="R36" i="7" s="1"/>
  <c r="S36" i="7" s="1"/>
  <c r="I36" i="7"/>
  <c r="H36" i="7"/>
  <c r="T38" i="7" l="1"/>
  <c r="AF38" i="7"/>
  <c r="R37" i="7"/>
  <c r="S37" i="7" s="1"/>
  <c r="T37" i="7" s="1"/>
  <c r="R39" i="7"/>
  <c r="S39" i="7" s="1"/>
  <c r="T39" i="7" s="1"/>
  <c r="AH36" i="7"/>
  <c r="F36" i="7"/>
  <c r="AF37" i="7"/>
  <c r="AG37" i="7"/>
  <c r="AF39" i="7"/>
  <c r="AG38" i="7" l="1"/>
  <c r="Y38" i="7" s="1"/>
  <c r="AK38" i="7"/>
  <c r="AH38" i="7"/>
  <c r="F39" i="7"/>
  <c r="AH39" i="7"/>
  <c r="F37" i="7"/>
  <c r="M37" i="7" s="1"/>
  <c r="K37" i="7" s="1"/>
  <c r="L37" i="7" s="1"/>
  <c r="AH37" i="7"/>
  <c r="U36" i="7"/>
  <c r="M36" i="7"/>
  <c r="K36" i="7" s="1"/>
  <c r="L36" i="7" s="1"/>
  <c r="AG39" i="7"/>
  <c r="Y39" i="7" s="1"/>
  <c r="M39" i="7"/>
  <c r="U39" i="7"/>
  <c r="AD35" i="7"/>
  <c r="AE35" i="7" s="1"/>
  <c r="AF35" i="7" s="1"/>
  <c r="AG35" i="7" s="1"/>
  <c r="AC35" i="7"/>
  <c r="AB35" i="7"/>
  <c r="AA35" i="7"/>
  <c r="Z35" i="7" s="1"/>
  <c r="Y35" i="7"/>
  <c r="P35" i="7"/>
  <c r="R35" i="7" s="1"/>
  <c r="S35" i="7" s="1"/>
  <c r="I35" i="7"/>
  <c r="H35" i="7"/>
  <c r="AD34" i="7"/>
  <c r="AE34" i="7" s="1"/>
  <c r="AF34" i="7" s="1"/>
  <c r="AC34" i="7"/>
  <c r="AB34" i="7"/>
  <c r="AA34" i="7"/>
  <c r="Z34" i="7" s="1"/>
  <c r="Y34" i="7"/>
  <c r="P34" i="7"/>
  <c r="R34" i="7" s="1"/>
  <c r="S34" i="7" s="1"/>
  <c r="I34" i="7"/>
  <c r="H34" i="7"/>
  <c r="AD33" i="7"/>
  <c r="AE33" i="7" s="1"/>
  <c r="AC33" i="7"/>
  <c r="AB33" i="7"/>
  <c r="AA33" i="7"/>
  <c r="P33" i="7"/>
  <c r="R33" i="7" s="1"/>
  <c r="S33" i="7" s="1"/>
  <c r="L33" i="7"/>
  <c r="I33" i="7"/>
  <c r="AD32" i="7"/>
  <c r="AE32" i="7" s="1"/>
  <c r="AC32" i="7"/>
  <c r="AB32" i="7"/>
  <c r="AA32" i="7"/>
  <c r="P32" i="7"/>
  <c r="R32" i="7" s="1"/>
  <c r="S32" i="7" s="1"/>
  <c r="L32" i="7"/>
  <c r="I32" i="7"/>
  <c r="AD31" i="7"/>
  <c r="AE31" i="7" s="1"/>
  <c r="AC31" i="7"/>
  <c r="AB31" i="7"/>
  <c r="AA31" i="7"/>
  <c r="Z31" i="7" s="1"/>
  <c r="Y31" i="7"/>
  <c r="P31" i="7"/>
  <c r="R31" i="7" s="1"/>
  <c r="S31" i="7" s="1"/>
  <c r="I31" i="7"/>
  <c r="H31" i="7"/>
  <c r="AD30" i="7"/>
  <c r="AE30" i="7" s="1"/>
  <c r="AC30" i="7"/>
  <c r="AB30" i="7"/>
  <c r="AA30" i="7"/>
  <c r="Z30" i="7" s="1"/>
  <c r="Y30" i="7"/>
  <c r="P30" i="7"/>
  <c r="R30" i="7" s="1"/>
  <c r="S30" i="7" s="1"/>
  <c r="I30" i="7"/>
  <c r="H30" i="7"/>
  <c r="AD29" i="7"/>
  <c r="AE29" i="7" s="1"/>
  <c r="AC29" i="7"/>
  <c r="AB29" i="7"/>
  <c r="AA29" i="7"/>
  <c r="Z29" i="7" s="1"/>
  <c r="Y29" i="7"/>
  <c r="P29" i="7"/>
  <c r="R29" i="7" s="1"/>
  <c r="S29" i="7" s="1"/>
  <c r="I29" i="7"/>
  <c r="H29" i="7"/>
  <c r="AD28" i="7"/>
  <c r="AE28" i="7" s="1"/>
  <c r="AC28" i="7"/>
  <c r="AB28" i="7"/>
  <c r="AA28" i="7"/>
  <c r="Z28" i="7" s="1"/>
  <c r="Y28" i="7"/>
  <c r="P28" i="7"/>
  <c r="R28" i="7" s="1"/>
  <c r="S28" i="7" s="1"/>
  <c r="I28" i="7"/>
  <c r="H28" i="7"/>
  <c r="AD27" i="7"/>
  <c r="AE27" i="7" s="1"/>
  <c r="AC27" i="7"/>
  <c r="AB27" i="7"/>
  <c r="AA27" i="7"/>
  <c r="Z27" i="7" s="1"/>
  <c r="Y27" i="7"/>
  <c r="P27" i="7"/>
  <c r="R27" i="7" s="1"/>
  <c r="S27" i="7" s="1"/>
  <c r="I27" i="7"/>
  <c r="H27" i="7"/>
  <c r="M38" i="7" l="1"/>
  <c r="U38" i="7"/>
  <c r="U37" i="7"/>
  <c r="V37" i="7"/>
  <c r="W37" i="7" s="1"/>
  <c r="X37" i="7" s="1"/>
  <c r="AI37" i="7"/>
  <c r="AI39" i="7"/>
  <c r="V39" i="7"/>
  <c r="W39" i="7" s="1"/>
  <c r="X39" i="7" s="1"/>
  <c r="V36" i="7"/>
  <c r="AI36" i="7"/>
  <c r="W36" i="7"/>
  <c r="X36" i="7" s="1"/>
  <c r="Q32" i="7"/>
  <c r="T32" i="7" s="1"/>
  <c r="Q28" i="7"/>
  <c r="T28" i="7" s="1"/>
  <c r="F28" i="7" s="1"/>
  <c r="Q35" i="7"/>
  <c r="T35" i="7" s="1"/>
  <c r="Q34" i="7"/>
  <c r="T34" i="7" s="1"/>
  <c r="AK39" i="7" s="1"/>
  <c r="AG34" i="7"/>
  <c r="Q29" i="7"/>
  <c r="T29" i="7" s="1"/>
  <c r="AF27" i="7"/>
  <c r="AG27" i="7" s="1"/>
  <c r="AF28" i="7"/>
  <c r="AG28" i="7" s="1"/>
  <c r="Q30" i="7"/>
  <c r="T30" i="7" s="1"/>
  <c r="Z33" i="7"/>
  <c r="Z32" i="7"/>
  <c r="Q33" i="7"/>
  <c r="T33" i="7" s="1"/>
  <c r="AF31" i="7"/>
  <c r="AG31" i="7" s="1"/>
  <c r="AF29" i="7"/>
  <c r="AG29" i="7" s="1"/>
  <c r="AF33" i="7"/>
  <c r="AG33" i="7" s="1"/>
  <c r="Q27" i="7"/>
  <c r="T27" i="7" s="1"/>
  <c r="AF30" i="7"/>
  <c r="AG30" i="7" s="1"/>
  <c r="Q31" i="7"/>
  <c r="T31" i="7" s="1"/>
  <c r="AF32" i="7"/>
  <c r="AI38" i="7" l="1"/>
  <c r="V38" i="7"/>
  <c r="W38" i="7" s="1"/>
  <c r="X38" i="7" s="1"/>
  <c r="AK36" i="7"/>
  <c r="AK37" i="7"/>
  <c r="AH28" i="7"/>
  <c r="AH32" i="7"/>
  <c r="F32" i="7"/>
  <c r="U32" i="7" s="1"/>
  <c r="AH35" i="7"/>
  <c r="F35" i="7"/>
  <c r="AH34" i="7"/>
  <c r="F34" i="7"/>
  <c r="AK34" i="7"/>
  <c r="AK35" i="7"/>
  <c r="AH31" i="7"/>
  <c r="F31" i="7"/>
  <c r="Y33" i="7"/>
  <c r="AH29" i="7"/>
  <c r="F29" i="7"/>
  <c r="M32" i="7"/>
  <c r="F33" i="7"/>
  <c r="AH33" i="7"/>
  <c r="M28" i="7"/>
  <c r="K28" i="7" s="1"/>
  <c r="L28" i="7" s="1"/>
  <c r="U28" i="7"/>
  <c r="AH27" i="7"/>
  <c r="F27" i="7"/>
  <c r="AG32" i="7"/>
  <c r="Y32" i="7" s="1"/>
  <c r="AH30" i="7"/>
  <c r="F30" i="7"/>
  <c r="M35" i="7" l="1"/>
  <c r="K35" i="7" s="1"/>
  <c r="L35" i="7" s="1"/>
  <c r="U35" i="7"/>
  <c r="M34" i="7"/>
  <c r="K34" i="7" s="1"/>
  <c r="L34" i="7" s="1"/>
  <c r="U34" i="7"/>
  <c r="M30" i="7"/>
  <c r="K30" i="7" s="1"/>
  <c r="L30" i="7" s="1"/>
  <c r="U30" i="7"/>
  <c r="M27" i="7"/>
  <c r="K27" i="7" s="1"/>
  <c r="L27" i="7" s="1"/>
  <c r="O33" i="7"/>
  <c r="U27" i="7"/>
  <c r="V32" i="7"/>
  <c r="W32" i="7" s="1"/>
  <c r="X32" i="7" s="1"/>
  <c r="AI32" i="7"/>
  <c r="M31" i="7"/>
  <c r="K31" i="7" s="1"/>
  <c r="L31" i="7" s="1"/>
  <c r="U31" i="7"/>
  <c r="AI28" i="7"/>
  <c r="V28" i="7"/>
  <c r="W28" i="7" s="1"/>
  <c r="X28" i="7" s="1"/>
  <c r="U33" i="7"/>
  <c r="M33" i="7"/>
  <c r="U29" i="7"/>
  <c r="M29" i="7"/>
  <c r="K29" i="7" s="1"/>
  <c r="L29" i="7" s="1"/>
  <c r="AD26" i="7"/>
  <c r="AE26" i="7" s="1"/>
  <c r="AC26" i="7"/>
  <c r="AB26" i="7"/>
  <c r="AA26" i="7"/>
  <c r="P26" i="7"/>
  <c r="R26" i="7" s="1"/>
  <c r="S26" i="7" s="1"/>
  <c r="L26" i="7"/>
  <c r="I26" i="7"/>
  <c r="AD25" i="7"/>
  <c r="AE25" i="7" s="1"/>
  <c r="AC25" i="7"/>
  <c r="AB25" i="7"/>
  <c r="AA25" i="7"/>
  <c r="P25" i="7"/>
  <c r="R25" i="7" s="1"/>
  <c r="S25" i="7" s="1"/>
  <c r="L25" i="7"/>
  <c r="I25" i="7"/>
  <c r="AD24" i="7"/>
  <c r="AE24" i="7" s="1"/>
  <c r="AC24" i="7"/>
  <c r="AB24" i="7"/>
  <c r="AA24" i="7"/>
  <c r="Z24" i="7" s="1"/>
  <c r="Y24" i="7"/>
  <c r="P24" i="7"/>
  <c r="R24" i="7" s="1"/>
  <c r="S24" i="7" s="1"/>
  <c r="I24" i="7"/>
  <c r="H24" i="7"/>
  <c r="AD23" i="7"/>
  <c r="AE23" i="7" s="1"/>
  <c r="AC23" i="7"/>
  <c r="AB23" i="7"/>
  <c r="AA23" i="7"/>
  <c r="Z23" i="7" s="1"/>
  <c r="Y23" i="7"/>
  <c r="P23" i="7"/>
  <c r="R23" i="7" s="1"/>
  <c r="S23" i="7" s="1"/>
  <c r="I23" i="7"/>
  <c r="H23" i="7"/>
  <c r="AD22" i="7"/>
  <c r="AE22" i="7" s="1"/>
  <c r="AC22" i="7"/>
  <c r="AB22" i="7"/>
  <c r="AA22" i="7"/>
  <c r="Z22" i="7" s="1"/>
  <c r="Y22" i="7"/>
  <c r="P22" i="7"/>
  <c r="Q22" i="7" s="1"/>
  <c r="I22" i="7"/>
  <c r="H22" i="7"/>
  <c r="AD21" i="7"/>
  <c r="AE21" i="7" s="1"/>
  <c r="AC21" i="7"/>
  <c r="AB21" i="7"/>
  <c r="AA21" i="7"/>
  <c r="Z21" i="7" s="1"/>
  <c r="Y21" i="7"/>
  <c r="P21" i="7"/>
  <c r="Q21" i="7" s="1"/>
  <c r="I21" i="7"/>
  <c r="H21" i="7"/>
  <c r="AD20" i="7"/>
  <c r="AE20" i="7" s="1"/>
  <c r="AC20" i="7"/>
  <c r="AB20" i="7"/>
  <c r="AA20" i="7"/>
  <c r="Z20" i="7" s="1"/>
  <c r="Y20" i="7"/>
  <c r="P20" i="7"/>
  <c r="R20" i="7" s="1"/>
  <c r="S20" i="7" s="1"/>
  <c r="I20" i="7"/>
  <c r="H20" i="7"/>
  <c r="AI35" i="7" l="1"/>
  <c r="V35" i="7"/>
  <c r="W35" i="7" s="1"/>
  <c r="X35" i="7" s="1"/>
  <c r="V34" i="7"/>
  <c r="W34" i="7" s="1"/>
  <c r="X34" i="7" s="1"/>
  <c r="AI34" i="7"/>
  <c r="V29" i="7"/>
  <c r="W29" i="7" s="1"/>
  <c r="X29" i="7" s="1"/>
  <c r="AI29" i="7"/>
  <c r="AI33" i="7"/>
  <c r="V33" i="7"/>
  <c r="W33" i="7" s="1"/>
  <c r="X33" i="7" s="1"/>
  <c r="AI31" i="7"/>
  <c r="V31" i="7"/>
  <c r="W31" i="7" s="1"/>
  <c r="X31" i="7" s="1"/>
  <c r="V30" i="7"/>
  <c r="W30" i="7" s="1"/>
  <c r="X30" i="7" s="1"/>
  <c r="AI30" i="7"/>
  <c r="AK33" i="7"/>
  <c r="AK32" i="7"/>
  <c r="AI27" i="7"/>
  <c r="V27" i="7"/>
  <c r="W27" i="7" s="1"/>
  <c r="X27" i="7" s="1"/>
  <c r="R21" i="7"/>
  <c r="S21" i="7" s="1"/>
  <c r="T21" i="7" s="1"/>
  <c r="Z26" i="7"/>
  <c r="R22" i="7"/>
  <c r="S22" i="7" s="1"/>
  <c r="T22" i="7" s="1"/>
  <c r="Q25" i="7"/>
  <c r="T25" i="7" s="1"/>
  <c r="Z25" i="7"/>
  <c r="Q26" i="7"/>
  <c r="T26" i="7" s="1"/>
  <c r="AF21" i="7"/>
  <c r="AG21" i="7" s="1"/>
  <c r="AF24" i="7"/>
  <c r="AG24" i="7" s="1"/>
  <c r="AF22" i="7"/>
  <c r="AG22" i="7" s="1"/>
  <c r="AF20" i="7"/>
  <c r="AG20" i="7" s="1"/>
  <c r="AF26" i="7"/>
  <c r="Q20" i="7"/>
  <c r="T20" i="7" s="1"/>
  <c r="AF23" i="7"/>
  <c r="AG23" i="7" s="1"/>
  <c r="Q24" i="7"/>
  <c r="T24" i="7" s="1"/>
  <c r="AF25" i="7"/>
  <c r="AG25" i="7" s="1"/>
  <c r="Q23" i="7"/>
  <c r="T23" i="7" s="1"/>
  <c r="P16" i="7"/>
  <c r="Q16" i="7" s="1"/>
  <c r="P17" i="7"/>
  <c r="P15" i="7"/>
  <c r="Q15" i="7" s="1"/>
  <c r="P14" i="7"/>
  <c r="Q14" i="7" s="1"/>
  <c r="P9" i="7"/>
  <c r="P10" i="7"/>
  <c r="Q10" i="7" s="1"/>
  <c r="P11" i="7"/>
  <c r="P12" i="7"/>
  <c r="Q12" i="7" s="1"/>
  <c r="P13" i="7"/>
  <c r="P18" i="7"/>
  <c r="Q18" i="7" s="1"/>
  <c r="P19" i="7"/>
  <c r="H13" i="7"/>
  <c r="H14" i="7"/>
  <c r="H15" i="7"/>
  <c r="H16" i="7"/>
  <c r="H17" i="7"/>
  <c r="I13" i="7"/>
  <c r="I14" i="7"/>
  <c r="I15" i="7"/>
  <c r="I16" i="7"/>
  <c r="I17" i="7"/>
  <c r="I18" i="7"/>
  <c r="I19" i="7"/>
  <c r="H9" i="7"/>
  <c r="H10" i="7"/>
  <c r="I9" i="7"/>
  <c r="I10" i="7"/>
  <c r="I11" i="7"/>
  <c r="I12" i="7"/>
  <c r="AD10" i="7"/>
  <c r="AE10" i="7" s="1"/>
  <c r="AF10" i="7" s="1"/>
  <c r="AG10" i="7" s="1"/>
  <c r="AC10" i="7"/>
  <c r="AB10" i="7"/>
  <c r="AA10" i="7"/>
  <c r="Z10" i="7" s="1"/>
  <c r="Y10" i="7"/>
  <c r="AD19" i="7"/>
  <c r="AE19" i="7" s="1"/>
  <c r="AC19" i="7"/>
  <c r="AB19" i="7"/>
  <c r="AA19" i="7"/>
  <c r="L19" i="7"/>
  <c r="AD18" i="7"/>
  <c r="AE18" i="7" s="1"/>
  <c r="AF18" i="7" s="1"/>
  <c r="AC18" i="7"/>
  <c r="AB18" i="7"/>
  <c r="AA18" i="7"/>
  <c r="L18" i="7"/>
  <c r="AD17" i="7"/>
  <c r="AE17" i="7" s="1"/>
  <c r="AC17" i="7"/>
  <c r="AB17" i="7"/>
  <c r="AA17" i="7"/>
  <c r="Z17" i="7" s="1"/>
  <c r="Y17" i="7"/>
  <c r="AD16" i="7"/>
  <c r="AE16" i="7" s="1"/>
  <c r="AC16" i="7"/>
  <c r="AB16" i="7"/>
  <c r="AA16" i="7"/>
  <c r="Z16" i="7" s="1"/>
  <c r="Y16" i="7"/>
  <c r="AD15" i="7"/>
  <c r="AE15" i="7" s="1"/>
  <c r="AF15" i="7" s="1"/>
  <c r="AG15" i="7" s="1"/>
  <c r="AC15" i="7"/>
  <c r="AB15" i="7"/>
  <c r="AA15" i="7"/>
  <c r="Z15" i="7" s="1"/>
  <c r="Y15" i="7"/>
  <c r="AD14" i="7"/>
  <c r="AE14" i="7" s="1"/>
  <c r="AF14" i="7" s="1"/>
  <c r="AC14" i="7"/>
  <c r="AB14" i="7"/>
  <c r="AA14" i="7"/>
  <c r="Z14" i="7" s="1"/>
  <c r="Y14" i="7"/>
  <c r="AD13" i="7"/>
  <c r="AE13" i="7" s="1"/>
  <c r="AF13" i="7" s="1"/>
  <c r="AC13" i="7"/>
  <c r="AB13" i="7"/>
  <c r="AA13" i="7"/>
  <c r="Z13" i="7" s="1"/>
  <c r="Y13" i="7"/>
  <c r="AD12" i="7"/>
  <c r="AE12" i="7" s="1"/>
  <c r="AF12" i="7" s="1"/>
  <c r="AC12" i="7"/>
  <c r="AB12" i="7"/>
  <c r="AA12" i="7"/>
  <c r="L12" i="7"/>
  <c r="AD11" i="7"/>
  <c r="AE11" i="7" s="1"/>
  <c r="AC11" i="7"/>
  <c r="AB11" i="7"/>
  <c r="AA11" i="7"/>
  <c r="L11" i="7"/>
  <c r="AD9" i="7"/>
  <c r="AE9" i="7" s="1"/>
  <c r="AF9" i="7" s="1"/>
  <c r="AC9" i="7"/>
  <c r="AB9" i="7"/>
  <c r="AA9" i="7"/>
  <c r="Z9" i="7" s="1"/>
  <c r="Y9" i="7"/>
  <c r="E46" i="7"/>
  <c r="F47" i="7" s="1"/>
  <c r="N10" i="15"/>
  <c r="K13" i="15"/>
  <c r="K12" i="15"/>
  <c r="K19" i="15"/>
  <c r="K18" i="15"/>
  <c r="K33" i="15"/>
  <c r="K40" i="15"/>
  <c r="K32" i="15"/>
  <c r="K24" i="15"/>
  <c r="K16" i="15"/>
  <c r="K39" i="15"/>
  <c r="K31" i="15"/>
  <c r="K23" i="15"/>
  <c r="K15" i="15"/>
  <c r="K28" i="15"/>
  <c r="K35" i="15"/>
  <c r="K34" i="15"/>
  <c r="K14" i="15"/>
  <c r="K36" i="15"/>
  <c r="K20" i="15"/>
  <c r="K27" i="15"/>
  <c r="K42" i="15"/>
  <c r="K26" i="15"/>
  <c r="K41" i="15"/>
  <c r="K25" i="15"/>
  <c r="K17" i="15"/>
  <c r="K38" i="15"/>
  <c r="K30" i="15"/>
  <c r="K22" i="15"/>
  <c r="K37" i="15"/>
  <c r="K29" i="15"/>
  <c r="K21" i="15"/>
  <c r="B43" i="15"/>
  <c r="K43" i="15"/>
  <c r="J40" i="7"/>
  <c r="AK30" i="7" l="1"/>
  <c r="AK27" i="7"/>
  <c r="AK28" i="7"/>
  <c r="AK29" i="7"/>
  <c r="AG12" i="7"/>
  <c r="Y12" i="7" s="1"/>
  <c r="I40" i="7"/>
  <c r="F22" i="7"/>
  <c r="M22" i="7" s="1"/>
  <c r="K22" i="7" s="1"/>
  <c r="L22" i="7" s="1"/>
  <c r="AH22" i="7"/>
  <c r="Z12" i="7"/>
  <c r="AH20" i="7"/>
  <c r="F20" i="7"/>
  <c r="AK25" i="7"/>
  <c r="Y25" i="7"/>
  <c r="F26" i="7"/>
  <c r="AH26" i="7"/>
  <c r="AH23" i="7"/>
  <c r="F23" i="7"/>
  <c r="AH25" i="7"/>
  <c r="F25" i="7"/>
  <c r="AH24" i="7"/>
  <c r="F24" i="7"/>
  <c r="AG26" i="7"/>
  <c r="Y26" i="7" s="1"/>
  <c r="AK26" i="7"/>
  <c r="AH21" i="7"/>
  <c r="F21" i="7"/>
  <c r="Z11" i="7"/>
  <c r="R15" i="7"/>
  <c r="S15" i="7" s="1"/>
  <c r="T15" i="7" s="1"/>
  <c r="R18" i="7"/>
  <c r="S18" i="7" s="1"/>
  <c r="T18" i="7" s="1"/>
  <c r="Z18" i="7"/>
  <c r="AF11" i="7"/>
  <c r="Z19" i="7"/>
  <c r="R12" i="7"/>
  <c r="S12" i="7" s="1"/>
  <c r="T12" i="7" s="1"/>
  <c r="R10" i="7"/>
  <c r="S10" i="7" s="1"/>
  <c r="T10" i="7" s="1"/>
  <c r="R16" i="7"/>
  <c r="S16" i="7" s="1"/>
  <c r="T16" i="7" s="1"/>
  <c r="AG9" i="7"/>
  <c r="Q17" i="7"/>
  <c r="R17" i="7"/>
  <c r="S17" i="7" s="1"/>
  <c r="AG13" i="7"/>
  <c r="AF17" i="7"/>
  <c r="AG17" i="7" s="1"/>
  <c r="AF19" i="7"/>
  <c r="AG19" i="7" s="1"/>
  <c r="Q13" i="7"/>
  <c r="R13" i="7"/>
  <c r="S13" i="7" s="1"/>
  <c r="AG14" i="7"/>
  <c r="Q11" i="7"/>
  <c r="R11" i="7"/>
  <c r="S11" i="7" s="1"/>
  <c r="P40" i="7"/>
  <c r="H40" i="7"/>
  <c r="AF16" i="7"/>
  <c r="AG16" i="7" s="1"/>
  <c r="AG18" i="7"/>
  <c r="Y18" i="7" s="1"/>
  <c r="Q19" i="7"/>
  <c r="R19" i="7"/>
  <c r="S19" i="7" s="1"/>
  <c r="Q9" i="7"/>
  <c r="R9" i="7"/>
  <c r="S9" i="7" s="1"/>
  <c r="R14" i="7"/>
  <c r="S14" i="7" s="1"/>
  <c r="T14" i="7" s="1"/>
  <c r="U22" i="7" l="1"/>
  <c r="O26" i="7"/>
  <c r="U21" i="7"/>
  <c r="M21" i="7"/>
  <c r="K21" i="7" s="1"/>
  <c r="L21" i="7" s="1"/>
  <c r="U25" i="7"/>
  <c r="M25" i="7"/>
  <c r="M20" i="7"/>
  <c r="K20" i="7" s="1"/>
  <c r="L20" i="7" s="1"/>
  <c r="U20" i="7"/>
  <c r="AI22" i="7"/>
  <c r="V22" i="7"/>
  <c r="W22" i="7" s="1"/>
  <c r="X22" i="7" s="1"/>
  <c r="U26" i="7"/>
  <c r="M26" i="7"/>
  <c r="M24" i="7"/>
  <c r="K24" i="7" s="1"/>
  <c r="L24" i="7" s="1"/>
  <c r="U24" i="7"/>
  <c r="M23" i="7"/>
  <c r="K23" i="7" s="1"/>
  <c r="L23" i="7" s="1"/>
  <c r="U23" i="7"/>
  <c r="T17" i="7"/>
  <c r="T9" i="7"/>
  <c r="F9" i="7" s="1"/>
  <c r="AH16" i="7"/>
  <c r="F16" i="7"/>
  <c r="AH10" i="7"/>
  <c r="F10" i="7"/>
  <c r="U10" i="7" s="1"/>
  <c r="T13" i="7"/>
  <c r="F13" i="7" s="1"/>
  <c r="T11" i="7"/>
  <c r="F11" i="7" s="1"/>
  <c r="AG11" i="7"/>
  <c r="Y11" i="7" s="1"/>
  <c r="F14" i="7"/>
  <c r="AH14" i="7"/>
  <c r="T19" i="7"/>
  <c r="AH18" i="7"/>
  <c r="F18" i="7"/>
  <c r="F15" i="7"/>
  <c r="AH15" i="7"/>
  <c r="F12" i="7"/>
  <c r="AH12" i="7"/>
  <c r="Y19" i="7"/>
  <c r="O12" i="7" l="1"/>
  <c r="AK31" i="7"/>
  <c r="M10" i="7"/>
  <c r="K10" i="7" s="1"/>
  <c r="L10" i="7" s="1"/>
  <c r="AH17" i="7"/>
  <c r="AH11" i="7"/>
  <c r="F17" i="7"/>
  <c r="M17" i="7" s="1"/>
  <c r="K17" i="7" s="1"/>
  <c r="L17" i="7" s="1"/>
  <c r="AH9" i="7"/>
  <c r="AK12" i="7"/>
  <c r="AK21" i="7"/>
  <c r="AK19" i="7"/>
  <c r="AI26" i="7"/>
  <c r="V26" i="7"/>
  <c r="W26" i="7" s="1"/>
  <c r="X26" i="7" s="1"/>
  <c r="AI20" i="7"/>
  <c r="V20" i="7"/>
  <c r="W20" i="7" s="1"/>
  <c r="X20" i="7" s="1"/>
  <c r="V25" i="7"/>
  <c r="W25" i="7" s="1"/>
  <c r="X25" i="7" s="1"/>
  <c r="AI25" i="7"/>
  <c r="AK24" i="7"/>
  <c r="V23" i="7"/>
  <c r="W23" i="7" s="1"/>
  <c r="X23" i="7" s="1"/>
  <c r="AI23" i="7"/>
  <c r="AK23" i="7"/>
  <c r="AI24" i="7"/>
  <c r="V24" i="7"/>
  <c r="W24" i="7" s="1"/>
  <c r="X24" i="7" s="1"/>
  <c r="AK15" i="7"/>
  <c r="AK20" i="7"/>
  <c r="AK22" i="7"/>
  <c r="AI21" i="7"/>
  <c r="V21" i="7"/>
  <c r="W21" i="7" s="1"/>
  <c r="X21" i="7" s="1"/>
  <c r="AK13" i="7"/>
  <c r="AK11" i="7"/>
  <c r="AK18" i="7"/>
  <c r="AK9" i="7"/>
  <c r="AH13" i="7"/>
  <c r="AK14" i="7"/>
  <c r="AK17" i="7"/>
  <c r="AK16" i="7"/>
  <c r="U16" i="7"/>
  <c r="M16" i="7"/>
  <c r="K16" i="7" s="1"/>
  <c r="L16" i="7" s="1"/>
  <c r="U9" i="7"/>
  <c r="M9" i="7"/>
  <c r="K9" i="7" s="1"/>
  <c r="L9" i="7" s="1"/>
  <c r="U11" i="7"/>
  <c r="M11" i="7"/>
  <c r="F19" i="7"/>
  <c r="AH19" i="7"/>
  <c r="U13" i="7"/>
  <c r="M13" i="7"/>
  <c r="K13" i="7" s="1"/>
  <c r="L13" i="7" s="1"/>
  <c r="M12" i="7"/>
  <c r="U12" i="7"/>
  <c r="M18" i="7"/>
  <c r="U18" i="7"/>
  <c r="U14" i="7"/>
  <c r="M14" i="7"/>
  <c r="K14" i="7" s="1"/>
  <c r="L14" i="7" s="1"/>
  <c r="V10" i="7"/>
  <c r="W10" i="7" s="1"/>
  <c r="X10" i="7" s="1"/>
  <c r="AI10" i="7"/>
  <c r="U15" i="7"/>
  <c r="M15" i="7"/>
  <c r="K15" i="7" s="1"/>
  <c r="L15" i="7" s="1"/>
  <c r="U17" i="7"/>
  <c r="AK10" i="7"/>
  <c r="O19" i="7" l="1"/>
  <c r="F40" i="7"/>
  <c r="P42" i="7" s="1"/>
  <c r="V16" i="7"/>
  <c r="W16" i="7" s="1"/>
  <c r="X16" i="7" s="1"/>
  <c r="AI16" i="7"/>
  <c r="AI14" i="7"/>
  <c r="V14" i="7"/>
  <c r="W14" i="7" s="1"/>
  <c r="X14" i="7" s="1"/>
  <c r="AI17" i="7"/>
  <c r="V17" i="7"/>
  <c r="W17" i="7" s="1"/>
  <c r="X17" i="7" s="1"/>
  <c r="V18" i="7"/>
  <c r="W18" i="7" s="1"/>
  <c r="X18" i="7" s="1"/>
  <c r="AI18" i="7"/>
  <c r="U19" i="7"/>
  <c r="M19" i="7"/>
  <c r="AI15" i="7"/>
  <c r="V15" i="7"/>
  <c r="W15" i="7" s="1"/>
  <c r="X15" i="7" s="1"/>
  <c r="V13" i="7"/>
  <c r="W13" i="7" s="1"/>
  <c r="X13" i="7" s="1"/>
  <c r="AI13" i="7"/>
  <c r="AI11" i="7"/>
  <c r="V11" i="7"/>
  <c r="W11" i="7" s="1"/>
  <c r="X11" i="7" s="1"/>
  <c r="V9" i="7"/>
  <c r="W9" i="7" s="1"/>
  <c r="X9" i="7" s="1"/>
  <c r="AI9" i="7"/>
  <c r="L40" i="7"/>
  <c r="N41" i="7" s="1"/>
  <c r="AI12" i="7"/>
  <c r="V12" i="7"/>
  <c r="W12" i="7" s="1"/>
  <c r="X12" i="7" s="1"/>
  <c r="V19" i="7" l="1"/>
  <c r="W19" i="7" s="1"/>
  <c r="X19" i="7" s="1"/>
  <c r="AI19" i="7"/>
</calcChain>
</file>

<file path=xl/comments1.xml><?xml version="1.0" encoding="utf-8"?>
<comments xmlns="http://schemas.openxmlformats.org/spreadsheetml/2006/main">
  <authors>
    <author/>
    <author>Panos Panagiotidis</author>
    <author>Fredrik Blomberg</author>
  </authors>
  <commentList>
    <comment ref="C8" authorId="0" shapeId="0">
      <text>
        <r>
          <rPr>
            <b/>
            <sz val="8"/>
            <color indexed="8"/>
            <rFont val="Times New Roman"/>
            <family val="1"/>
          </rPr>
          <t xml:space="preserve">Använd kolon(:) som skiljetecken t.ex 8:00
</t>
        </r>
      </text>
    </comment>
    <comment ref="D8" authorId="0" shapeId="0">
      <text>
        <r>
          <rPr>
            <b/>
            <sz val="8"/>
            <color indexed="8"/>
            <rFont val="Times New Roman"/>
            <family val="1"/>
          </rPr>
          <t xml:space="preserve">Använd kolon(:) som skiljetecken t.ex17:00
</t>
        </r>
      </text>
    </comment>
    <comment ref="E8" authorId="0" shapeId="0">
      <text>
        <r>
          <rPr>
            <b/>
            <sz val="8"/>
            <color indexed="8"/>
            <rFont val="Times New Roman"/>
            <family val="1"/>
          </rPr>
          <t xml:space="preserve">Använd kolon(:) som skiljetecken t.ex 00:45
</t>
        </r>
      </text>
    </comment>
    <comment ref="G8" authorId="0" shapeId="0">
      <text>
        <r>
          <rPr>
            <b/>
            <sz val="8"/>
            <color indexed="8"/>
            <rFont val="Times New Roman"/>
            <family val="1"/>
          </rPr>
          <t xml:space="preserve">Övertid är tid utöver dina 40 ordinarie timmar som du arbetat för att ditt uppdrag kräver det.
Det ska vara berodrat av din kund (oftast gruppchefen). 
Alltså man skiljer på övertid och tid som du jobbar för att jobba in ett underskott i tidbank eller om du jobbar ett par timmar längre på måndagen för att kunna gå tidigare på fredagen. (eller vid annat tillfälle)
Du kan inte ha mindre än 40 h i ord tid om du vill ha ut övertidsersättning.
OBS! Endast fullgjorda halva timmar räknas. 
Om du tex har 59 min övertid så måste du välja om du vill ha ut timmar utöver dina 8 ord i övertid (skriv Ja) eller som tid till tidbanken. Du kan alltså få ut en halvtimma i övertid  eller 59 min in i tidbanken. </t>
        </r>
      </text>
    </comment>
    <comment ref="H8" authorId="0" shapeId="0">
      <text>
        <r>
          <rPr>
            <b/>
            <sz val="8"/>
            <color indexed="8"/>
            <rFont val="Times New Roman"/>
            <family val="1"/>
          </rPr>
          <t xml:space="preserve">Helgfria Mån-Fre mellan 06-20
</t>
        </r>
        <r>
          <rPr>
            <sz val="8"/>
            <color indexed="8"/>
            <rFont val="Times New Roman"/>
            <family val="1"/>
          </rPr>
          <t xml:space="preserve">OBS! OBS! Endast fullgjorda halva timmar räknas. </t>
        </r>
      </text>
    </comment>
    <comment ref="I8" authorId="0" shapeId="0">
      <text>
        <r>
          <rPr>
            <b/>
            <sz val="8"/>
            <color indexed="8"/>
            <rFont val="Times New Roman"/>
            <family val="1"/>
          </rPr>
          <t xml:space="preserve">Efter kl 20:00 helgfria vardagar samt helgdagar
</t>
        </r>
        <r>
          <rPr>
            <sz val="8"/>
            <color indexed="8"/>
            <rFont val="Times New Roman"/>
            <family val="1"/>
          </rPr>
          <t xml:space="preserve">OBS! Endast fullgjorda halva timmar räknas. </t>
        </r>
      </text>
    </comment>
    <comment ref="K8" authorId="0" shapeId="0">
      <text>
        <r>
          <rPr>
            <b/>
            <sz val="8"/>
            <color indexed="8"/>
            <rFont val="Times New Roman"/>
            <family val="1"/>
          </rPr>
          <t xml:space="preserve">OBS! </t>
        </r>
        <r>
          <rPr>
            <sz val="8"/>
            <color indexed="8"/>
            <rFont val="Times New Roman"/>
            <family val="1"/>
          </rPr>
          <t>Här skriver du in den aktuella frånvarokoden. Var noga med att du väljer rätt kod för rätt typ av semesterdag!</t>
        </r>
      </text>
    </comment>
    <comment ref="K9" authorId="1" shapeId="0">
      <text>
        <r>
          <rPr>
            <sz val="9"/>
            <color indexed="81"/>
            <rFont val="Tahoma"/>
            <family val="2"/>
          </rPr>
          <t>Välj frånvarokod från drop down meny</t>
        </r>
      </text>
    </comment>
    <comment ref="K10" authorId="1" shapeId="0">
      <text>
        <r>
          <rPr>
            <sz val="9"/>
            <color indexed="81"/>
            <rFont val="Tahoma"/>
            <family val="2"/>
          </rPr>
          <t>Välj frånvarokod från drop down meny</t>
        </r>
      </text>
    </comment>
    <comment ref="K11" authorId="2" shapeId="0">
      <text>
        <r>
          <rPr>
            <sz val="9"/>
            <color indexed="81"/>
            <rFont val="Tahoma"/>
            <family val="2"/>
          </rPr>
          <t xml:space="preserve">Välj frånvarokod från drop down meny </t>
        </r>
      </text>
    </comment>
    <comment ref="K12" authorId="2" shapeId="0">
      <text>
        <r>
          <rPr>
            <sz val="9"/>
            <color indexed="81"/>
            <rFont val="Tahoma"/>
            <family val="2"/>
          </rPr>
          <t xml:space="preserve">Välj frånvarokod från drop down meny </t>
        </r>
      </text>
    </comment>
    <comment ref="K13" authorId="1" shapeId="0">
      <text>
        <r>
          <rPr>
            <sz val="9"/>
            <color indexed="81"/>
            <rFont val="Tahoma"/>
            <family val="2"/>
          </rPr>
          <t>Välj frånvarokod från drop down meny</t>
        </r>
      </text>
    </comment>
    <comment ref="K14" authorId="1" shapeId="0">
      <text>
        <r>
          <rPr>
            <sz val="9"/>
            <color indexed="81"/>
            <rFont val="Tahoma"/>
            <family val="2"/>
          </rPr>
          <t>Välj frånvarokod från drop down meny</t>
        </r>
      </text>
    </comment>
    <comment ref="K15" authorId="1" shapeId="0">
      <text>
        <r>
          <rPr>
            <sz val="9"/>
            <color indexed="81"/>
            <rFont val="Tahoma"/>
            <family val="2"/>
          </rPr>
          <t>Välj frånvarokod från drop down meny</t>
        </r>
      </text>
    </comment>
    <comment ref="K16" authorId="1" shapeId="0">
      <text>
        <r>
          <rPr>
            <sz val="9"/>
            <color indexed="81"/>
            <rFont val="Tahoma"/>
            <family val="2"/>
          </rPr>
          <t>Välj frånvarokod från drop down meny</t>
        </r>
      </text>
    </comment>
    <comment ref="K17" authorId="1" shapeId="0">
      <text>
        <r>
          <rPr>
            <sz val="9"/>
            <color indexed="81"/>
            <rFont val="Tahoma"/>
            <family val="2"/>
          </rPr>
          <t>Välj frånvarokod från drop down meny</t>
        </r>
      </text>
    </comment>
    <comment ref="K18" authorId="2" shapeId="0">
      <text>
        <r>
          <rPr>
            <sz val="9"/>
            <color indexed="81"/>
            <rFont val="Tahoma"/>
            <family val="2"/>
          </rPr>
          <t xml:space="preserve">Välj frånvarokod från drop down meny </t>
        </r>
      </text>
    </comment>
    <comment ref="K19" authorId="2" shapeId="0">
      <text>
        <r>
          <rPr>
            <sz val="9"/>
            <color indexed="81"/>
            <rFont val="Tahoma"/>
            <family val="2"/>
          </rPr>
          <t xml:space="preserve">Välj frånvarokod från drop down meny </t>
        </r>
      </text>
    </comment>
    <comment ref="K20" authorId="1" shapeId="0">
      <text>
        <r>
          <rPr>
            <sz val="9"/>
            <color indexed="81"/>
            <rFont val="Tahoma"/>
            <family val="2"/>
          </rPr>
          <t>Välj frånvarokod från drop down meny</t>
        </r>
      </text>
    </comment>
    <comment ref="K21" authorId="1" shapeId="0">
      <text>
        <r>
          <rPr>
            <sz val="9"/>
            <color indexed="81"/>
            <rFont val="Tahoma"/>
            <family val="2"/>
          </rPr>
          <t>Välj frånvarokod från drop down meny</t>
        </r>
      </text>
    </comment>
    <comment ref="K22" authorId="1" shapeId="0">
      <text>
        <r>
          <rPr>
            <sz val="9"/>
            <color indexed="81"/>
            <rFont val="Tahoma"/>
            <family val="2"/>
          </rPr>
          <t>Välj frånvarokod från drop down meny</t>
        </r>
      </text>
    </comment>
    <comment ref="K23" authorId="1" shapeId="0">
      <text>
        <r>
          <rPr>
            <sz val="9"/>
            <color indexed="81"/>
            <rFont val="Tahoma"/>
            <family val="2"/>
          </rPr>
          <t>Välj frånvarokod från drop down meny</t>
        </r>
      </text>
    </comment>
    <comment ref="K24" authorId="1" shapeId="0">
      <text>
        <r>
          <rPr>
            <sz val="9"/>
            <color indexed="81"/>
            <rFont val="Tahoma"/>
            <family val="2"/>
          </rPr>
          <t>Välj frånvarokod från drop down meny</t>
        </r>
      </text>
    </comment>
    <comment ref="K25" authorId="2" shapeId="0">
      <text>
        <r>
          <rPr>
            <sz val="9"/>
            <color indexed="81"/>
            <rFont val="Tahoma"/>
            <family val="2"/>
          </rPr>
          <t xml:space="preserve">Välj frånvarokod från drop down meny </t>
        </r>
      </text>
    </comment>
    <comment ref="K26" authorId="2" shapeId="0">
      <text>
        <r>
          <rPr>
            <sz val="9"/>
            <color indexed="81"/>
            <rFont val="Tahoma"/>
            <family val="2"/>
          </rPr>
          <t xml:space="preserve">Välj frånvarokod från drop down meny </t>
        </r>
      </text>
    </comment>
    <comment ref="K27" authorId="1" shapeId="0">
      <text>
        <r>
          <rPr>
            <sz val="9"/>
            <color indexed="81"/>
            <rFont val="Tahoma"/>
            <family val="2"/>
          </rPr>
          <t>Välj frånvarokod från drop down meny</t>
        </r>
      </text>
    </comment>
    <comment ref="K28" authorId="1" shapeId="0">
      <text>
        <r>
          <rPr>
            <sz val="9"/>
            <color indexed="81"/>
            <rFont val="Tahoma"/>
            <family val="2"/>
          </rPr>
          <t>Välj frånvarokod från drop down meny</t>
        </r>
      </text>
    </comment>
    <comment ref="K29" authorId="1" shapeId="0">
      <text>
        <r>
          <rPr>
            <sz val="9"/>
            <color indexed="81"/>
            <rFont val="Tahoma"/>
            <family val="2"/>
          </rPr>
          <t>Välj frånvarokod från drop down meny</t>
        </r>
      </text>
    </comment>
    <comment ref="K30" authorId="1" shapeId="0">
      <text>
        <r>
          <rPr>
            <sz val="9"/>
            <color indexed="81"/>
            <rFont val="Tahoma"/>
            <family val="2"/>
          </rPr>
          <t>Välj frånvarokod från drop down meny</t>
        </r>
      </text>
    </comment>
    <comment ref="K31" authorId="1" shapeId="0">
      <text>
        <r>
          <rPr>
            <sz val="9"/>
            <color indexed="81"/>
            <rFont val="Tahoma"/>
            <family val="2"/>
          </rPr>
          <t>Välj frånvarokod från drop down meny</t>
        </r>
      </text>
    </comment>
    <comment ref="K32" authorId="2" shapeId="0">
      <text>
        <r>
          <rPr>
            <sz val="9"/>
            <color indexed="81"/>
            <rFont val="Tahoma"/>
            <family val="2"/>
          </rPr>
          <t xml:space="preserve">Välj frånvarokod från drop down meny </t>
        </r>
      </text>
    </comment>
    <comment ref="K33" authorId="2" shapeId="0">
      <text>
        <r>
          <rPr>
            <sz val="9"/>
            <color indexed="81"/>
            <rFont val="Tahoma"/>
            <family val="2"/>
          </rPr>
          <t xml:space="preserve">Välj frånvarokod från drop down meny </t>
        </r>
      </text>
    </comment>
    <comment ref="K34" authorId="1" shapeId="0">
      <text>
        <r>
          <rPr>
            <sz val="9"/>
            <color indexed="81"/>
            <rFont val="Tahoma"/>
            <family val="2"/>
          </rPr>
          <t>Välj frånvarokod från drop down meny</t>
        </r>
      </text>
    </comment>
    <comment ref="K35" authorId="1" shapeId="0">
      <text>
        <r>
          <rPr>
            <sz val="9"/>
            <color indexed="81"/>
            <rFont val="Tahoma"/>
            <family val="2"/>
          </rPr>
          <t>Välj frånvarokod från drop down meny</t>
        </r>
      </text>
    </comment>
    <comment ref="K36" authorId="1" shapeId="0">
      <text>
        <r>
          <rPr>
            <sz val="9"/>
            <color indexed="81"/>
            <rFont val="Tahoma"/>
            <family val="2"/>
          </rPr>
          <t>Välj frånvarokod från drop down meny</t>
        </r>
      </text>
    </comment>
    <comment ref="K37" authorId="1" shapeId="0">
      <text>
        <r>
          <rPr>
            <sz val="9"/>
            <color indexed="81"/>
            <rFont val="Tahoma"/>
            <family val="2"/>
          </rPr>
          <t>Välj frånvarokod från drop down meny</t>
        </r>
      </text>
    </comment>
    <comment ref="K38" authorId="2" shapeId="0">
      <text>
        <r>
          <rPr>
            <sz val="9"/>
            <color indexed="81"/>
            <rFont val="Tahoma"/>
            <family val="2"/>
          </rPr>
          <t xml:space="preserve">Välj frånvarokod från drop down meny </t>
        </r>
      </text>
    </comment>
    <comment ref="K39" authorId="2" shapeId="0">
      <text>
        <r>
          <rPr>
            <sz val="9"/>
            <color indexed="81"/>
            <rFont val="Tahoma"/>
            <family val="2"/>
          </rPr>
          <t xml:space="preserve">Välj frånvarokod från drop down meny </t>
        </r>
      </text>
    </comment>
    <comment ref="J44" authorId="0" shapeId="0">
      <text>
        <r>
          <rPr>
            <b/>
            <sz val="8"/>
            <color indexed="8"/>
            <rFont val="Times New Roman"/>
            <family val="1"/>
          </rPr>
          <t xml:space="preserve">Gäller för pappan vid barns födsel eller upp till 60 dagar efter.
</t>
        </r>
      </text>
    </comment>
    <comment ref="J46" authorId="0" shapeId="0">
      <text>
        <r>
          <rPr>
            <b/>
            <sz val="8"/>
            <color indexed="8"/>
            <rFont val="Times New Roman"/>
            <family val="1"/>
          </rPr>
          <t xml:space="preserve">Föräldraledighet kan tas ut 1,2,4,6 eller 8 timmar.
</t>
        </r>
      </text>
    </comment>
    <comment ref="N48" authorId="0" shapeId="0">
      <text>
        <r>
          <rPr>
            <b/>
            <sz val="8"/>
            <color indexed="8"/>
            <rFont val="Times New Roman"/>
            <family val="1"/>
          </rPr>
          <t xml:space="preserve">Charlotta Lidqvist:
</t>
        </r>
        <r>
          <rPr>
            <sz val="8"/>
            <color indexed="8"/>
            <rFont val="Times New Roman"/>
            <family val="1"/>
          </rPr>
          <t xml:space="preserve">Fyll i aktuella rutor!
</t>
        </r>
      </text>
    </comment>
    <comment ref="H54" authorId="0" shapeId="0">
      <text>
        <r>
          <rPr>
            <b/>
            <sz val="8"/>
            <color indexed="8"/>
            <rFont val="Times New Roman"/>
            <family val="1"/>
          </rPr>
          <t xml:space="preserve">
</t>
        </r>
        <r>
          <rPr>
            <sz val="8"/>
            <color indexed="8"/>
            <rFont val="Times New Roman"/>
            <family val="1"/>
          </rPr>
          <t>Skriv ditt namn!</t>
        </r>
      </text>
    </comment>
  </commentList>
</comments>
</file>

<file path=xl/comments2.xml><?xml version="1.0" encoding="utf-8"?>
<comments xmlns="http://schemas.openxmlformats.org/spreadsheetml/2006/main">
  <authors>
    <author/>
  </authors>
  <commentList>
    <comment ref="D11" authorId="0" shapeId="0">
      <text>
        <r>
          <rPr>
            <sz val="8"/>
            <color indexed="8"/>
            <rFont val="Times New Roman"/>
            <family val="1"/>
          </rPr>
          <t>Speca körsträcka tur och retur varje dag!</t>
        </r>
      </text>
    </comment>
    <comment ref="D44" authorId="0" shapeId="0">
      <text>
        <r>
          <rPr>
            <sz val="8"/>
            <color indexed="8"/>
            <rFont val="Times New Roman"/>
            <family val="1"/>
          </rPr>
          <t>skriv ditt namn!</t>
        </r>
      </text>
    </comment>
  </commentList>
</comments>
</file>

<file path=xl/sharedStrings.xml><?xml version="1.0" encoding="utf-8"?>
<sst xmlns="http://schemas.openxmlformats.org/spreadsheetml/2006/main" count="156" uniqueCount="110">
  <si>
    <r>
      <t xml:space="preserve">Tidrapportera </t>
    </r>
    <r>
      <rPr>
        <b/>
        <sz val="10"/>
        <rFont val="Arial"/>
        <family val="2"/>
      </rPr>
      <t>första</t>
    </r>
    <r>
      <rPr>
        <sz val="11"/>
        <color theme="1"/>
        <rFont val="Calibri"/>
        <family val="2"/>
        <scheme val="minor"/>
      </rPr>
      <t xml:space="preserve"> arbetsdagen i varje månad</t>
    </r>
  </si>
  <si>
    <t>All övertid till tid?</t>
  </si>
  <si>
    <t>All övertid till tid</t>
  </si>
  <si>
    <t xml:space="preserve"> All övertid till pengar?</t>
  </si>
  <si>
    <t>PL</t>
  </si>
  <si>
    <t>tidrapport@engineeringpartner.se</t>
  </si>
  <si>
    <t xml:space="preserve"> All övertid till tid+pengar?</t>
  </si>
  <si>
    <t>VB</t>
  </si>
  <si>
    <t xml:space="preserve">Lämnat milblankett? </t>
  </si>
  <si>
    <t>JA/NEJ</t>
  </si>
  <si>
    <t>Nej</t>
  </si>
  <si>
    <t>FL</t>
  </si>
  <si>
    <t>Milblankett att fakturera kund?</t>
  </si>
  <si>
    <t>PE</t>
  </si>
  <si>
    <t>Lämnat reseräkning?</t>
  </si>
  <si>
    <t>Attest av uppdragsgivare:</t>
  </si>
  <si>
    <t>Namn och underskrift:</t>
  </si>
  <si>
    <t>EP:s attest</t>
  </si>
  <si>
    <t>All övertid till pengar</t>
  </si>
  <si>
    <t>All övertid till tid+pengar</t>
  </si>
  <si>
    <t>Anställningsnummer</t>
  </si>
  <si>
    <t>År</t>
  </si>
  <si>
    <t>Företag /Ärende / Ändamål</t>
  </si>
  <si>
    <r>
      <t>EP-Projektnummer</t>
    </r>
    <r>
      <rPr>
        <sz val="11"/>
        <color theme="1"/>
        <rFont val="Calibri"/>
        <family val="2"/>
        <scheme val="minor"/>
      </rPr>
      <t>:</t>
    </r>
  </si>
  <si>
    <t>Datum</t>
  </si>
  <si>
    <t>Antal mil</t>
  </si>
  <si>
    <t>Körsträcka</t>
  </si>
  <si>
    <t>Kronor</t>
  </si>
  <si>
    <t>Kostnad milersättning</t>
  </si>
  <si>
    <t>Attest (EP)</t>
  </si>
  <si>
    <r>
      <t>SJ</t>
    </r>
    <r>
      <rPr>
        <sz val="8"/>
        <rFont val="Arial"/>
        <family val="2"/>
      </rPr>
      <t xml:space="preserve"> = Sjuk</t>
    </r>
  </si>
  <si>
    <r>
      <t>TB</t>
    </r>
    <r>
      <rPr>
        <sz val="8"/>
        <rFont val="Arial"/>
        <family val="2"/>
      </rPr>
      <t>= Tidbank</t>
    </r>
  </si>
  <si>
    <r>
      <t>SE</t>
    </r>
    <r>
      <rPr>
        <sz val="8"/>
        <rFont val="Arial"/>
        <family val="2"/>
      </rPr>
      <t xml:space="preserve"> = Semester</t>
    </r>
  </si>
  <si>
    <r>
      <t>PL=</t>
    </r>
    <r>
      <rPr>
        <sz val="8"/>
        <rFont val="Arial"/>
        <family val="2"/>
      </rPr>
      <t>Pappaledig 10 dagar</t>
    </r>
  </si>
  <si>
    <r>
      <t>OS</t>
    </r>
    <r>
      <rPr>
        <sz val="8"/>
        <rFont val="Arial"/>
        <family val="2"/>
      </rPr>
      <t>= Obetald se.</t>
    </r>
    <r>
      <rPr>
        <vertAlign val="superscript"/>
        <sz val="8"/>
        <rFont val="Arial"/>
        <family val="2"/>
      </rPr>
      <t>1)</t>
    </r>
  </si>
  <si>
    <r>
      <t>VB</t>
    </r>
    <r>
      <rPr>
        <sz val="8"/>
        <rFont val="Arial"/>
        <family val="2"/>
      </rPr>
      <t>=Vård av barn</t>
    </r>
  </si>
  <si>
    <r>
      <t>TL</t>
    </r>
    <r>
      <rPr>
        <sz val="8"/>
        <rFont val="Arial"/>
        <family val="2"/>
      </rPr>
      <t xml:space="preserve"> = Tjänstledig</t>
    </r>
  </si>
  <si>
    <r>
      <t>FL=</t>
    </r>
    <r>
      <rPr>
        <sz val="8"/>
        <rFont val="Arial"/>
        <family val="2"/>
      </rPr>
      <t>Föräldraledig</t>
    </r>
  </si>
  <si>
    <r>
      <rPr>
        <b/>
        <sz val="8"/>
        <color indexed="8"/>
        <rFont val="Arial"/>
        <family val="2"/>
      </rPr>
      <t>TB</t>
    </r>
    <r>
      <rPr>
        <sz val="8"/>
        <color indexed="8"/>
        <rFont val="Arial"/>
        <family val="2"/>
      </rPr>
      <t xml:space="preserve"> = Tidbank</t>
    </r>
  </si>
  <si>
    <r>
      <rPr>
        <b/>
        <sz val="8"/>
        <color indexed="8"/>
        <rFont val="Arial"/>
        <family val="2"/>
      </rPr>
      <t>PL</t>
    </r>
    <r>
      <rPr>
        <sz val="8"/>
        <color indexed="8"/>
        <rFont val="Arial"/>
        <family val="2"/>
      </rPr>
      <t xml:space="preserve"> = Pappaledig</t>
    </r>
  </si>
  <si>
    <r>
      <rPr>
        <b/>
        <sz val="8"/>
        <color indexed="8"/>
        <rFont val="Arial"/>
        <family val="2"/>
      </rPr>
      <t>VB</t>
    </r>
    <r>
      <rPr>
        <sz val="8"/>
        <color indexed="8"/>
        <rFont val="Arial"/>
        <family val="2"/>
      </rPr>
      <t xml:space="preserve"> = Vård av barn</t>
    </r>
  </si>
  <si>
    <r>
      <rPr>
        <b/>
        <sz val="8"/>
        <color indexed="8"/>
        <rFont val="Arial"/>
        <family val="2"/>
      </rPr>
      <t>FL</t>
    </r>
    <r>
      <rPr>
        <sz val="8"/>
        <color indexed="8"/>
        <rFont val="Arial"/>
        <family val="2"/>
      </rPr>
      <t xml:space="preserve"> = Föräldraledig</t>
    </r>
  </si>
  <si>
    <r>
      <rPr>
        <b/>
        <sz val="8"/>
        <rFont val="Arial"/>
        <family val="2"/>
      </rPr>
      <t>PE</t>
    </r>
    <r>
      <rPr>
        <sz val="8"/>
        <rFont val="Arial"/>
        <family val="2"/>
      </rPr>
      <t xml:space="preserve"> = Permission</t>
    </r>
  </si>
  <si>
    <t>Vid annan typ av frånvaro, skriv orsak i anteckningskolumnen 
så kodar vi vid lönekörningen</t>
  </si>
  <si>
    <t>Uppdragsgivare:</t>
  </si>
  <si>
    <t>Grupp/Uppdragsbeteckning:</t>
  </si>
  <si>
    <t>ja</t>
  </si>
  <si>
    <t>Övertid</t>
  </si>
  <si>
    <t>Intern  utbildn.</t>
  </si>
  <si>
    <t>Frånvaro</t>
  </si>
  <si>
    <t>Dat</t>
  </si>
  <si>
    <t>Dag</t>
  </si>
  <si>
    <t>Kom klockan</t>
  </si>
  <si>
    <t>Gick klockan</t>
  </si>
  <si>
    <t>Lunch i minuter</t>
  </si>
  <si>
    <t>Ordinarie tid  faktor 1</t>
  </si>
  <si>
    <t>1) faktor 1,5</t>
  </si>
  <si>
    <t>2) faktor 2,0</t>
  </si>
  <si>
    <t xml:space="preserve">Antal
utb. timmar </t>
  </si>
  <si>
    <t xml:space="preserve">Orsak </t>
  </si>
  <si>
    <t>Semester etc</t>
  </si>
  <si>
    <t>TB</t>
  </si>
  <si>
    <t>ANTECKNINGAR  Kurs,EP-tid 
Terminaltid mm</t>
  </si>
  <si>
    <t>ONS</t>
  </si>
  <si>
    <t>TOR</t>
  </si>
  <si>
    <t>FRE</t>
  </si>
  <si>
    <t>SÖN</t>
  </si>
  <si>
    <t>MÅN</t>
  </si>
  <si>
    <t>TIS</t>
  </si>
  <si>
    <t>Månadens ordinare tid</t>
  </si>
  <si>
    <r>
      <t>S</t>
    </r>
    <r>
      <rPr>
        <b/>
        <sz val="11"/>
        <rFont val="Times New Roman"/>
        <family val="1"/>
      </rPr>
      <t xml:space="preserve"> Totalt arbetad ord.tid</t>
    </r>
  </si>
  <si>
    <t>Månadens tidbank</t>
  </si>
  <si>
    <t>Timmar</t>
  </si>
  <si>
    <t>Förkortningar till frånvaro orsak:</t>
  </si>
  <si>
    <r>
      <t>PE</t>
    </r>
    <r>
      <rPr>
        <sz val="8.5"/>
        <rFont val="Arial"/>
        <family val="2"/>
      </rPr>
      <t xml:space="preserve">= Permission </t>
    </r>
    <r>
      <rPr>
        <vertAlign val="superscript"/>
        <sz val="8.5"/>
        <rFont val="Arial"/>
        <family val="2"/>
      </rPr>
      <t>2)</t>
    </r>
  </si>
  <si>
    <t>SJ</t>
  </si>
  <si>
    <t xml:space="preserve">1)gäller första året på EP </t>
  </si>
  <si>
    <t>SE</t>
  </si>
  <si>
    <t>2)särskilda regler gäller</t>
  </si>
  <si>
    <t>OS</t>
  </si>
  <si>
    <t>TL</t>
  </si>
  <si>
    <t>Namn nedan:</t>
  </si>
  <si>
    <t xml:space="preserve">EP-anställningsnr i rutan nedan: </t>
  </si>
  <si>
    <t>LÖR</t>
  </si>
  <si>
    <t>Ja</t>
  </si>
  <si>
    <r>
      <rPr>
        <b/>
        <i/>
        <sz val="8"/>
        <rFont val="Arial"/>
        <family val="2"/>
      </rPr>
      <t>Beordrad</t>
    </r>
    <r>
      <rPr>
        <b/>
        <sz val="8"/>
        <rFont val="Arial"/>
        <family val="2"/>
      </rPr>
      <t xml:space="preserve"> övertid? Skriv: Ja </t>
    </r>
  </si>
  <si>
    <t>Fieldglass</t>
  </si>
  <si>
    <t>Rapporterar i Fieldglass? Skriv JA nedan ↓</t>
  </si>
  <si>
    <t>Månad</t>
  </si>
  <si>
    <t>Uppdrag/Projekt</t>
  </si>
  <si>
    <t>Privat bil</t>
  </si>
  <si>
    <t>Förmånsbil</t>
  </si>
  <si>
    <t>Bensin</t>
  </si>
  <si>
    <t>Diesel</t>
  </si>
  <si>
    <t>x</t>
  </si>
  <si>
    <t>Total tid</t>
  </si>
  <si>
    <t>Summa projekttid</t>
  </si>
  <si>
    <t xml:space="preserve">Interntid </t>
  </si>
  <si>
    <t>Markera med "X"</t>
  </si>
  <si>
    <t xml:space="preserve">                         Summa antal mil              </t>
  </si>
  <si>
    <t>v. 9</t>
  </si>
  <si>
    <t>Mars</t>
  </si>
  <si>
    <t>Långfredag</t>
  </si>
  <si>
    <t>Påskafton</t>
  </si>
  <si>
    <t>v. 10</t>
  </si>
  <si>
    <t>v. 11</t>
  </si>
  <si>
    <t>v. 12</t>
  </si>
  <si>
    <t>v. 13</t>
  </si>
  <si>
    <t>pb</t>
  </si>
  <si>
    <t>fb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</si>
</sst>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 #,##0.00\ &quot;kr&quot;_-;\-* #,##0.00\ &quot;kr&quot;_-;_-* &quot;-&quot;??\ &quot;kr&quot;_-;_-@_-"/>
    <numFmt numFmtId="164" formatCode="hh:mm;@"/>
    <numFmt numFmtId="165" formatCode="[h]:mm"/>
    <numFmt numFmtId="166" formatCode="_-* #,##0.00&quot; kr&quot;_-;\-* #,##0.00&quot; kr&quot;_-;_-* \-??&quot; kr&quot;_-;_-@_-"/>
    <numFmt numFmtId="167" formatCode="yyyy;@"/>
  </numFmts>
  <fonts count="51" x14ac:knownFonts="1">
    <font>
      <sz val="11"/>
      <color theme="1"/>
      <name val="Calibri"/>
      <family val="2"/>
      <scheme val="minor"/>
    </font>
    <font>
      <sz val="10"/>
      <name val="Arial"/>
      <family val="2"/>
    </font>
    <font>
      <b/>
      <sz val="10"/>
      <name val="Arial"/>
      <family val="2"/>
    </font>
    <font>
      <sz val="10"/>
      <color indexed="9"/>
      <name val="Arial"/>
      <family val="2"/>
    </font>
    <font>
      <sz val="8"/>
      <name val="Gill Sans MT"/>
      <family val="2"/>
    </font>
    <font>
      <b/>
      <sz val="11"/>
      <name val="Arial"/>
      <family val="2"/>
    </font>
    <font>
      <b/>
      <sz val="30"/>
      <name val="Arial"/>
      <family val="2"/>
    </font>
    <font>
      <b/>
      <sz val="8"/>
      <name val="Arial"/>
      <family val="2"/>
    </font>
    <font>
      <sz val="8"/>
      <name val="Arial"/>
      <family val="2"/>
    </font>
    <font>
      <b/>
      <sz val="8.5"/>
      <name val="Arial"/>
      <family val="2"/>
    </font>
    <font>
      <b/>
      <sz val="12"/>
      <name val="Arial"/>
      <family val="2"/>
    </font>
    <font>
      <b/>
      <sz val="9"/>
      <name val="Arial"/>
      <family val="2"/>
    </font>
    <font>
      <b/>
      <sz val="6"/>
      <name val="Arial"/>
      <family val="2"/>
    </font>
    <font>
      <b/>
      <sz val="9"/>
      <color indexed="9"/>
      <name val="Arial"/>
      <family val="2"/>
    </font>
    <font>
      <sz val="12"/>
      <name val="Arial"/>
      <family val="2"/>
    </font>
    <font>
      <b/>
      <sz val="9"/>
      <name val="Symbol"/>
      <family val="1"/>
    </font>
    <font>
      <b/>
      <sz val="11"/>
      <name val="Times New Roman"/>
      <family val="1"/>
    </font>
    <font>
      <b/>
      <sz val="14"/>
      <name val="Times New Roman"/>
      <family val="1"/>
    </font>
    <font>
      <b/>
      <sz val="10"/>
      <name val="MS Sans Serif"/>
      <family val="2"/>
    </font>
    <font>
      <b/>
      <sz val="8"/>
      <name val="MS Sans Serif"/>
      <family val="2"/>
    </font>
    <font>
      <sz val="8.5"/>
      <name val="Arial"/>
      <family val="2"/>
    </font>
    <font>
      <vertAlign val="superscript"/>
      <sz val="8.5"/>
      <name val="Arial"/>
      <family val="2"/>
    </font>
    <font>
      <sz val="6"/>
      <name val="Arial"/>
      <family val="2"/>
    </font>
    <font>
      <vertAlign val="superscript"/>
      <sz val="8"/>
      <name val="Arial"/>
      <family val="2"/>
    </font>
    <font>
      <sz val="7"/>
      <name val="Arial"/>
      <family val="2"/>
    </font>
    <font>
      <u/>
      <sz val="10"/>
      <color indexed="12"/>
      <name val="Arial"/>
      <family val="2"/>
    </font>
    <font>
      <b/>
      <i/>
      <sz val="12"/>
      <color indexed="12"/>
      <name val="Arial"/>
      <family val="2"/>
    </font>
    <font>
      <b/>
      <i/>
      <sz val="16"/>
      <color indexed="10"/>
      <name val="Arial"/>
      <family val="2"/>
    </font>
    <font>
      <sz val="8"/>
      <name val="MS Sans Serif"/>
      <family val="2"/>
    </font>
    <font>
      <b/>
      <sz val="8"/>
      <color indexed="8"/>
      <name val="Times New Roman"/>
      <family val="1"/>
    </font>
    <font>
      <sz val="8"/>
      <color indexed="8"/>
      <name val="Times New Roman"/>
      <family val="1"/>
    </font>
    <font>
      <sz val="9"/>
      <color indexed="81"/>
      <name val="Tahoma"/>
      <family val="2"/>
    </font>
    <font>
      <sz val="22"/>
      <name val="Arial"/>
      <family val="2"/>
    </font>
    <font>
      <sz val="18"/>
      <name val="Times New Roman"/>
      <family val="1"/>
    </font>
    <font>
      <b/>
      <sz val="14"/>
      <name val="Arial"/>
      <family val="2"/>
    </font>
    <font>
      <b/>
      <sz val="16"/>
      <name val="Arial"/>
      <family val="2"/>
    </font>
    <font>
      <sz val="8"/>
      <color indexed="8"/>
      <name val="Arial"/>
      <family val="2"/>
    </font>
    <font>
      <b/>
      <sz val="8"/>
      <color indexed="8"/>
      <name val="Arial"/>
      <family val="2"/>
    </font>
    <font>
      <sz val="11"/>
      <color indexed="8"/>
      <name val="Calibri"/>
      <family val="2"/>
    </font>
    <font>
      <sz val="8"/>
      <color indexed="8"/>
      <name val="Arial"/>
      <family val="2"/>
    </font>
    <font>
      <sz val="8"/>
      <color indexed="8"/>
      <name val="Calibri"/>
      <family val="2"/>
    </font>
    <font>
      <sz val="8"/>
      <name val="Verdana"/>
      <family val="2"/>
    </font>
    <font>
      <sz val="8"/>
      <color theme="1"/>
      <name val="Arial"/>
      <family val="2"/>
    </font>
    <font>
      <sz val="10"/>
      <color theme="1"/>
      <name val="Arial"/>
      <family val="2"/>
    </font>
    <font>
      <b/>
      <sz val="10"/>
      <color theme="1"/>
      <name val="Arial"/>
      <family val="2"/>
    </font>
    <font>
      <b/>
      <i/>
      <sz val="16"/>
      <color rgb="FFFF0000"/>
      <name val="Arial"/>
      <family val="2"/>
    </font>
    <font>
      <sz val="11"/>
      <name val="Calibri"/>
      <family val="2"/>
      <scheme val="minor"/>
    </font>
    <font>
      <b/>
      <i/>
      <sz val="8"/>
      <name val="Arial"/>
      <family val="2"/>
    </font>
    <font>
      <sz val="11"/>
      <color rgb="FF000000"/>
      <name val="Calibri"/>
      <family val="2"/>
    </font>
    <font>
      <b/>
      <sz val="11"/>
      <color theme="1"/>
      <name val="Calibri"/>
      <family val="2"/>
      <scheme val="minor"/>
    </font>
    <font>
      <sz val="16"/>
      <name val="Times New Roman"/>
      <family val="1"/>
    </font>
  </fonts>
  <fills count="8">
    <fill>
      <patternFill patternType="none"/>
    </fill>
    <fill>
      <patternFill patternType="gray125"/>
    </fill>
    <fill>
      <patternFill patternType="solid">
        <fgColor indexed="9"/>
        <bgColor indexed="26"/>
      </patternFill>
    </fill>
    <fill>
      <patternFill patternType="solid">
        <fgColor indexed="9"/>
        <bgColor indexed="64"/>
      </patternFill>
    </fill>
    <fill>
      <patternFill patternType="solid">
        <fgColor indexed="13"/>
        <bgColor indexed="26"/>
      </patternFill>
    </fill>
    <fill>
      <patternFill patternType="solid">
        <fgColor theme="0"/>
        <bgColor indexed="64"/>
      </patternFill>
    </fill>
    <fill>
      <patternFill patternType="solid">
        <fgColor theme="0"/>
        <bgColor indexed="26"/>
      </patternFill>
    </fill>
    <fill>
      <patternFill patternType="solid">
        <fgColor rgb="FF339966"/>
        <bgColor indexed="64"/>
      </patternFill>
    </fill>
  </fills>
  <borders count="117">
    <border>
      <left/>
      <right/>
      <top/>
      <bottom/>
      <diagonal/>
    </border>
    <border>
      <left/>
      <right/>
      <top style="medium">
        <color indexed="8"/>
      </top>
      <bottom/>
      <diagonal/>
    </border>
    <border>
      <left style="medium">
        <color indexed="8"/>
      </left>
      <right/>
      <top/>
      <bottom/>
      <diagonal/>
    </border>
    <border>
      <left style="medium">
        <color indexed="8"/>
      </left>
      <right style="medium">
        <color indexed="8"/>
      </right>
      <top/>
      <bottom style="medium">
        <color indexed="8"/>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8"/>
      </left>
      <right/>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8"/>
      </left>
      <right style="thin">
        <color indexed="8"/>
      </right>
      <top/>
      <bottom style="medium">
        <color indexed="8"/>
      </bottom>
      <diagonal/>
    </border>
    <border>
      <left/>
      <right style="medium">
        <color indexed="8"/>
      </right>
      <top/>
      <bottom/>
      <diagonal/>
    </border>
    <border>
      <left/>
      <right style="thin">
        <color indexed="8"/>
      </right>
      <top style="thin">
        <color indexed="8"/>
      </top>
      <bottom style="thin">
        <color indexed="8"/>
      </bottom>
      <diagonal/>
    </border>
    <border>
      <left/>
      <right style="medium">
        <color indexed="8"/>
      </right>
      <top/>
      <bottom style="thin">
        <color indexed="8"/>
      </bottom>
      <diagonal/>
    </border>
    <border>
      <left/>
      <right/>
      <top style="medium">
        <color indexed="8"/>
      </top>
      <bottom style="medium">
        <color indexed="8"/>
      </bottom>
      <diagonal/>
    </border>
    <border>
      <left style="medium">
        <color indexed="64"/>
      </left>
      <right/>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top/>
      <bottom style="medium">
        <color indexed="8"/>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8"/>
      </left>
      <right style="medium">
        <color indexed="8"/>
      </right>
      <top style="medium">
        <color indexed="8"/>
      </top>
      <bottom style="medium">
        <color indexed="8"/>
      </bottom>
      <diagonal/>
    </border>
    <border>
      <left style="medium">
        <color indexed="8"/>
      </left>
      <right/>
      <top style="medium">
        <color indexed="64"/>
      </top>
      <bottom/>
      <diagonal/>
    </border>
    <border>
      <left/>
      <right/>
      <top style="medium">
        <color indexed="64"/>
      </top>
      <bottom/>
      <diagonal/>
    </border>
    <border>
      <left style="medium">
        <color indexed="8"/>
      </left>
      <right/>
      <top/>
      <bottom style="medium">
        <color indexed="64"/>
      </bottom>
      <diagonal/>
    </border>
    <border>
      <left/>
      <right/>
      <top/>
      <bottom style="medium">
        <color indexed="64"/>
      </bottom>
      <diagonal/>
    </border>
    <border>
      <left style="medium">
        <color indexed="8"/>
      </left>
      <right/>
      <top style="medium">
        <color indexed="8"/>
      </top>
      <bottom style="medium">
        <color indexed="8"/>
      </bottom>
      <diagonal/>
    </border>
    <border>
      <left/>
      <right style="medium">
        <color indexed="8"/>
      </right>
      <top/>
      <bottom style="medium">
        <color indexed="64"/>
      </bottom>
      <diagonal/>
    </border>
    <border>
      <left/>
      <right/>
      <top style="medium">
        <color indexed="64"/>
      </top>
      <bottom style="thin">
        <color indexed="64"/>
      </bottom>
      <diagonal/>
    </border>
    <border>
      <left style="medium">
        <color indexed="8"/>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right style="thin">
        <color indexed="8"/>
      </right>
      <top style="medium">
        <color indexed="8"/>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8"/>
      </bottom>
      <diagonal/>
    </border>
    <border>
      <left style="thin">
        <color indexed="8"/>
      </left>
      <right/>
      <top style="medium">
        <color indexed="8"/>
      </top>
      <bottom style="thin">
        <color indexed="64"/>
      </bottom>
      <diagonal/>
    </border>
    <border>
      <left style="medium">
        <color indexed="64"/>
      </left>
      <right style="medium">
        <color indexed="8"/>
      </right>
      <top/>
      <bottom style="thin">
        <color indexed="8"/>
      </bottom>
      <diagonal/>
    </border>
    <border>
      <left style="medium">
        <color indexed="8"/>
      </left>
      <right style="medium">
        <color indexed="8"/>
      </right>
      <top style="medium">
        <color indexed="8"/>
      </top>
      <bottom style="thin">
        <color indexed="64"/>
      </bottom>
      <diagonal/>
    </border>
    <border>
      <left style="medium">
        <color indexed="8"/>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8"/>
      </left>
      <right style="medium">
        <color indexed="8"/>
      </right>
      <top/>
      <bottom style="thin">
        <color indexed="8"/>
      </bottom>
      <diagonal/>
    </border>
    <border>
      <left style="medium">
        <color indexed="8"/>
      </left>
      <right style="medium">
        <color indexed="8"/>
      </right>
      <top style="medium">
        <color indexed="64"/>
      </top>
      <bottom style="thin">
        <color indexed="64"/>
      </bottom>
      <diagonal/>
    </border>
    <border>
      <left style="medium">
        <color indexed="8"/>
      </left>
      <right/>
      <top style="thin">
        <color indexed="8"/>
      </top>
      <bottom style="thin">
        <color indexed="8"/>
      </bottom>
      <diagonal/>
    </border>
    <border>
      <left/>
      <right style="thin">
        <color indexed="8"/>
      </right>
      <top style="thin">
        <color indexed="8"/>
      </top>
      <bottom style="medium">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medium">
        <color indexed="8"/>
      </left>
      <right/>
      <top/>
      <bottom style="thin">
        <color indexed="8"/>
      </bottom>
      <diagonal/>
    </border>
    <border>
      <left style="thin">
        <color indexed="8"/>
      </left>
      <right/>
      <top style="thin">
        <color indexed="8"/>
      </top>
      <bottom style="medium">
        <color indexed="8"/>
      </bottom>
      <diagonal/>
    </border>
    <border>
      <left style="medium">
        <color indexed="8"/>
      </left>
      <right style="medium">
        <color indexed="8"/>
      </right>
      <top/>
      <bottom style="thin">
        <color indexed="64"/>
      </bottom>
      <diagonal/>
    </border>
    <border>
      <left style="medium">
        <color indexed="64"/>
      </left>
      <right/>
      <top style="thin">
        <color indexed="8"/>
      </top>
      <bottom style="thin">
        <color indexed="8"/>
      </bottom>
      <diagonal/>
    </border>
    <border>
      <left/>
      <right style="medium">
        <color indexed="64"/>
      </right>
      <top style="thin">
        <color indexed="8"/>
      </top>
      <bottom style="thin">
        <color indexed="8"/>
      </bottom>
      <diagonal/>
    </border>
    <border>
      <left style="medium">
        <color indexed="64"/>
      </left>
      <right/>
      <top style="thin">
        <color indexed="8"/>
      </top>
      <bottom/>
      <diagonal/>
    </border>
    <border>
      <left style="medium">
        <color indexed="64"/>
      </left>
      <right style="medium">
        <color indexed="8"/>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8"/>
      </left>
      <right style="medium">
        <color indexed="64"/>
      </right>
      <top/>
      <bottom style="thin">
        <color indexed="8"/>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top style="thin">
        <color indexed="64"/>
      </top>
      <bottom style="medium">
        <color indexed="8"/>
      </bottom>
      <diagonal/>
    </border>
    <border>
      <left/>
      <right/>
      <top style="thin">
        <color indexed="64"/>
      </top>
      <bottom style="medium">
        <color indexed="8"/>
      </bottom>
      <diagonal/>
    </border>
    <border>
      <left/>
      <right style="medium">
        <color indexed="8"/>
      </right>
      <top style="thin">
        <color indexed="64"/>
      </top>
      <bottom style="medium">
        <color indexed="8"/>
      </bottom>
      <diagonal/>
    </border>
    <border>
      <left style="medium">
        <color indexed="64"/>
      </left>
      <right/>
      <top/>
      <bottom style="medium">
        <color indexed="8"/>
      </bottom>
      <diagonal/>
    </border>
    <border>
      <left style="medium">
        <color indexed="8"/>
      </left>
      <right/>
      <top style="thin">
        <color indexed="64"/>
      </top>
      <bottom/>
      <diagonal/>
    </border>
    <border>
      <left style="medium">
        <color indexed="64"/>
      </left>
      <right/>
      <top style="thin">
        <color indexed="8"/>
      </top>
      <bottom style="medium">
        <color indexed="64"/>
      </bottom>
      <diagonal/>
    </border>
    <border>
      <left/>
      <right style="medium">
        <color indexed="64"/>
      </right>
      <top style="thin">
        <color indexed="8"/>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8"/>
      </top>
      <bottom/>
      <diagonal/>
    </border>
    <border>
      <left style="medium">
        <color indexed="64"/>
      </left>
      <right/>
      <top/>
      <bottom style="thin">
        <color indexed="8"/>
      </bottom>
      <diagonal/>
    </border>
    <border>
      <left style="medium">
        <color indexed="64"/>
      </left>
      <right/>
      <top style="medium">
        <color indexed="8"/>
      </top>
      <bottom style="thin">
        <color indexed="64"/>
      </bottom>
      <diagonal/>
    </border>
    <border>
      <left/>
      <right style="thin">
        <color indexed="8"/>
      </right>
      <top/>
      <bottom style="thin">
        <color indexed="8"/>
      </bottom>
      <diagonal/>
    </border>
    <border>
      <left style="medium">
        <color indexed="8"/>
      </left>
      <right style="thin">
        <color indexed="8"/>
      </right>
      <top/>
      <bottom style="thin">
        <color indexed="8"/>
      </bottom>
      <diagonal/>
    </border>
    <border>
      <left style="thin">
        <color indexed="8"/>
      </left>
      <right/>
      <top/>
      <bottom style="thin">
        <color indexed="8"/>
      </bottom>
      <diagonal/>
    </border>
    <border>
      <left/>
      <right style="medium">
        <color indexed="8"/>
      </right>
      <top style="medium">
        <color indexed="64"/>
      </top>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thin">
        <color indexed="64"/>
      </top>
      <bottom/>
      <diagonal/>
    </border>
    <border>
      <left style="medium">
        <color indexed="8"/>
      </left>
      <right style="medium">
        <color indexed="64"/>
      </right>
      <top/>
      <bottom style="medium">
        <color indexed="8"/>
      </bottom>
      <diagonal/>
    </border>
    <border>
      <left style="medium">
        <color indexed="8"/>
      </left>
      <right style="medium">
        <color indexed="64"/>
      </right>
      <top style="medium">
        <color indexed="8"/>
      </top>
      <bottom style="thin">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right/>
      <top style="thin">
        <color indexed="8"/>
      </top>
      <bottom style="thin">
        <color indexed="8"/>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8"/>
      </left>
      <right style="thin">
        <color indexed="8"/>
      </right>
      <top style="thin">
        <color indexed="8"/>
      </top>
      <bottom/>
      <diagonal/>
    </border>
    <border>
      <left style="medium">
        <color indexed="64"/>
      </left>
      <right/>
      <top style="medium">
        <color indexed="64"/>
      </top>
      <bottom style="medium">
        <color indexed="64"/>
      </bottom>
      <diagonal/>
    </border>
    <border>
      <left style="medium">
        <color indexed="64"/>
      </left>
      <right style="thin">
        <color indexed="8"/>
      </right>
      <top style="medium">
        <color indexed="64"/>
      </top>
      <bottom style="medium">
        <color indexed="64"/>
      </bottom>
      <diagonal/>
    </border>
    <border>
      <left style="medium">
        <color indexed="8"/>
      </left>
      <right style="thin">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right/>
      <top style="thin">
        <color indexed="8"/>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8"/>
      </right>
      <top/>
      <bottom/>
      <diagonal/>
    </border>
    <border>
      <left style="thin">
        <color indexed="8"/>
      </left>
      <right style="thin">
        <color indexed="8"/>
      </right>
      <top/>
      <bottom/>
      <diagonal/>
    </border>
    <border>
      <left style="thin">
        <color indexed="8"/>
      </left>
      <right/>
      <top/>
      <bottom/>
      <diagonal/>
    </border>
    <border>
      <left/>
      <right style="medium">
        <color indexed="64"/>
      </right>
      <top style="medium">
        <color indexed="8"/>
      </top>
      <bottom style="medium">
        <color indexed="8"/>
      </bottom>
      <diagonal/>
    </border>
    <border>
      <left style="thin">
        <color indexed="8"/>
      </left>
      <right/>
      <top/>
      <bottom style="thin">
        <color indexed="64"/>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style="medium">
        <color indexed="8"/>
      </left>
      <right style="thin">
        <color indexed="8"/>
      </right>
      <top style="thin">
        <color indexed="8"/>
      </top>
      <bottom style="medium">
        <color indexed="64"/>
      </bottom>
      <diagonal/>
    </border>
  </borders>
  <cellStyleXfs count="3">
    <xf numFmtId="0" fontId="0" fillId="0" borderId="0"/>
    <xf numFmtId="0" fontId="25" fillId="0" borderId="0" applyNumberFormat="0" applyFill="0" applyBorder="0" applyAlignment="0" applyProtection="0">
      <alignment vertical="top"/>
      <protection locked="0"/>
    </xf>
    <xf numFmtId="44" fontId="38" fillId="0" borderId="0" applyFont="0" applyFill="0" applyBorder="0" applyAlignment="0" applyProtection="0"/>
  </cellStyleXfs>
  <cellXfs count="341">
    <xf numFmtId="0" fontId="0" fillId="0" borderId="0" xfId="0"/>
    <xf numFmtId="0" fontId="0" fillId="2" borderId="0" xfId="0" applyFill="1" applyBorder="1"/>
    <xf numFmtId="0" fontId="0" fillId="2" borderId="0" xfId="0" applyFill="1"/>
    <xf numFmtId="0" fontId="5" fillId="2" borderId="0" xfId="0" applyFont="1" applyFill="1"/>
    <xf numFmtId="0" fontId="0" fillId="2" borderId="0" xfId="0" applyFill="1" applyAlignment="1">
      <alignment horizontal="center"/>
    </xf>
    <xf numFmtId="0" fontId="14" fillId="2" borderId="0" xfId="0" applyFont="1" applyFill="1" applyAlignment="1">
      <alignment horizontal="center"/>
    </xf>
    <xf numFmtId="0" fontId="14" fillId="2" borderId="0" xfId="0" applyFont="1" applyFill="1"/>
    <xf numFmtId="0" fontId="0" fillId="2" borderId="0" xfId="0" applyFill="1" applyBorder="1" applyAlignment="1"/>
    <xf numFmtId="0" fontId="0" fillId="2" borderId="48" xfId="0" applyFill="1" applyBorder="1" applyAlignment="1"/>
    <xf numFmtId="0" fontId="0" fillId="2" borderId="29" xfId="0" applyFill="1" applyBorder="1" applyAlignment="1"/>
    <xf numFmtId="0" fontId="0" fillId="2" borderId="25" xfId="0" applyFill="1" applyBorder="1" applyAlignment="1"/>
    <xf numFmtId="0" fontId="0" fillId="2" borderId="21" xfId="0" applyFill="1" applyBorder="1" applyAlignment="1"/>
    <xf numFmtId="0" fontId="0" fillId="2" borderId="39" xfId="0" applyFill="1" applyBorder="1" applyAlignment="1"/>
    <xf numFmtId="0" fontId="0" fillId="2" borderId="49" xfId="0" applyFill="1" applyBorder="1" applyAlignment="1"/>
    <xf numFmtId="0" fontId="0" fillId="2" borderId="31" xfId="0" applyFill="1" applyBorder="1" applyAlignment="1"/>
    <xf numFmtId="0" fontId="0" fillId="2" borderId="26" xfId="0" applyFill="1" applyBorder="1" applyAlignment="1"/>
    <xf numFmtId="49" fontId="33" fillId="2" borderId="0" xfId="0" applyNumberFormat="1" applyFont="1" applyFill="1" applyBorder="1" applyAlignment="1">
      <alignment horizontal="center" vertical="top"/>
    </xf>
    <xf numFmtId="49" fontId="33" fillId="2" borderId="39" xfId="0" applyNumberFormat="1" applyFont="1" applyFill="1" applyBorder="1" applyAlignment="1">
      <alignment horizontal="center" vertical="top"/>
    </xf>
    <xf numFmtId="0" fontId="32" fillId="2" borderId="21" xfId="0" applyFont="1" applyFill="1" applyBorder="1" applyAlignment="1">
      <alignment horizontal="center" vertical="center" wrapText="1"/>
    </xf>
    <xf numFmtId="0" fontId="32" fillId="2" borderId="0" xfId="0" applyFont="1" applyFill="1" applyBorder="1" applyAlignment="1">
      <alignment horizontal="center" vertical="center" wrapText="1"/>
    </xf>
    <xf numFmtId="0" fontId="32" fillId="2" borderId="39" xfId="0" applyFont="1" applyFill="1" applyBorder="1" applyAlignment="1">
      <alignment horizontal="center" vertical="center" wrapText="1"/>
    </xf>
    <xf numFmtId="0" fontId="32" fillId="2" borderId="49" xfId="0" applyFont="1" applyFill="1" applyBorder="1" applyAlignment="1">
      <alignment horizontal="center" vertical="center" wrapText="1"/>
    </xf>
    <xf numFmtId="0" fontId="32" fillId="2" borderId="31" xfId="0" applyFont="1" applyFill="1" applyBorder="1" applyAlignment="1">
      <alignment horizontal="center" vertical="center" wrapText="1"/>
    </xf>
    <xf numFmtId="0" fontId="32" fillId="2" borderId="26" xfId="0" applyFont="1" applyFill="1" applyBorder="1" applyAlignment="1">
      <alignment horizontal="center" vertical="center" wrapText="1"/>
    </xf>
    <xf numFmtId="0" fontId="2" fillId="2" borderId="2" xfId="0" applyFont="1" applyFill="1" applyBorder="1" applyAlignment="1">
      <alignment horizontal="center"/>
    </xf>
    <xf numFmtId="0" fontId="0" fillId="2" borderId="57" xfId="0" applyFill="1" applyBorder="1" applyAlignment="1">
      <alignment horizontal="center"/>
    </xf>
    <xf numFmtId="0" fontId="0" fillId="2" borderId="22" xfId="0" applyFill="1" applyBorder="1" applyAlignment="1">
      <alignment horizontal="center"/>
    </xf>
    <xf numFmtId="0" fontId="0" fillId="2" borderId="47" xfId="0" applyFill="1" applyBorder="1" applyAlignment="1">
      <alignment horizontal="center"/>
    </xf>
    <xf numFmtId="49" fontId="33" fillId="2" borderId="21" xfId="0" applyNumberFormat="1" applyFont="1" applyFill="1" applyBorder="1" applyAlignment="1">
      <alignment horizontal="center" vertical="top"/>
    </xf>
    <xf numFmtId="20" fontId="14" fillId="7" borderId="11" xfId="0" applyNumberFormat="1" applyFont="1" applyFill="1" applyBorder="1" applyAlignment="1" applyProtection="1">
      <alignment horizontal="right"/>
      <protection locked="0"/>
    </xf>
    <xf numFmtId="2" fontId="14" fillId="7" borderId="11" xfId="0" applyNumberFormat="1" applyFont="1" applyFill="1" applyBorder="1" applyAlignment="1" applyProtection="1">
      <alignment horizontal="right"/>
      <protection locked="0"/>
    </xf>
    <xf numFmtId="20" fontId="2" fillId="7" borderId="11" xfId="0" applyNumberFormat="1" applyFont="1" applyFill="1" applyBorder="1" applyAlignment="1" applyProtection="1">
      <alignment horizontal="center" vertical="center" wrapText="1"/>
      <protection locked="0"/>
    </xf>
    <xf numFmtId="164" fontId="14" fillId="7" borderId="11" xfId="0" applyNumberFormat="1" applyFont="1" applyFill="1" applyBorder="1" applyAlignment="1" applyProtection="1">
      <alignment horizontal="right"/>
      <protection locked="0"/>
    </xf>
    <xf numFmtId="2" fontId="8" fillId="7" borderId="13" xfId="0" applyNumberFormat="1" applyFont="1" applyFill="1" applyBorder="1" applyAlignment="1" applyProtection="1">
      <alignment horizontal="left"/>
      <protection locked="0"/>
    </xf>
    <xf numFmtId="0" fontId="2" fillId="2" borderId="66" xfId="0" applyFont="1" applyFill="1" applyBorder="1" applyAlignment="1" applyProtection="1">
      <alignment horizontal="center"/>
      <protection locked="0"/>
    </xf>
    <xf numFmtId="0" fontId="2" fillId="2" borderId="0" xfId="0" applyFont="1" applyFill="1" applyBorder="1" applyAlignment="1">
      <alignment horizontal="center" vertical="center"/>
    </xf>
    <xf numFmtId="2" fontId="14" fillId="0" borderId="11" xfId="0" applyNumberFormat="1" applyFont="1" applyFill="1" applyBorder="1" applyAlignment="1" applyProtection="1">
      <alignment horizontal="right"/>
      <protection locked="0"/>
    </xf>
    <xf numFmtId="0" fontId="1" fillId="6" borderId="29" xfId="0" applyFont="1" applyFill="1" applyBorder="1" applyProtection="1"/>
    <xf numFmtId="0" fontId="1" fillId="6" borderId="86" xfId="0" applyFont="1" applyFill="1" applyBorder="1" applyProtection="1"/>
    <xf numFmtId="0" fontId="1" fillId="6" borderId="44" xfId="0" applyFont="1" applyFill="1" applyBorder="1" applyAlignment="1" applyProtection="1">
      <alignment horizontal="center" vertical="center"/>
    </xf>
    <xf numFmtId="0" fontId="0" fillId="6" borderId="79" xfId="0" applyFont="1" applyFill="1" applyBorder="1" applyProtection="1"/>
    <xf numFmtId="0" fontId="0" fillId="6" borderId="0" xfId="0" applyFont="1" applyFill="1" applyProtection="1"/>
    <xf numFmtId="0" fontId="0" fillId="6" borderId="0" xfId="0" applyFill="1" applyProtection="1"/>
    <xf numFmtId="0" fontId="1" fillId="5" borderId="21" xfId="0" applyFont="1" applyFill="1" applyBorder="1" applyProtection="1"/>
    <xf numFmtId="0" fontId="0" fillId="6" borderId="0" xfId="0" applyFill="1" applyBorder="1" applyProtection="1"/>
    <xf numFmtId="0" fontId="1" fillId="6" borderId="0" xfId="0" applyFont="1" applyFill="1" applyBorder="1" applyProtection="1"/>
    <xf numFmtId="0" fontId="4" fillId="6" borderId="0" xfId="0" applyFont="1" applyFill="1" applyBorder="1" applyProtection="1"/>
    <xf numFmtId="0" fontId="0" fillId="6" borderId="14" xfId="0" applyFont="1" applyFill="1" applyBorder="1" applyProtection="1"/>
    <xf numFmtId="0" fontId="1" fillId="6" borderId="90" xfId="0" applyFont="1" applyFill="1" applyBorder="1" applyAlignment="1" applyProtection="1">
      <alignment horizontal="center" vertical="center"/>
    </xf>
    <xf numFmtId="0" fontId="1" fillId="5" borderId="21" xfId="0" applyFont="1" applyFill="1" applyBorder="1" applyAlignment="1" applyProtection="1">
      <alignment horizontal="center"/>
    </xf>
    <xf numFmtId="0" fontId="1" fillId="6" borderId="0" xfId="0" applyFont="1" applyFill="1" applyBorder="1" applyAlignment="1" applyProtection="1">
      <alignment horizontal="center"/>
    </xf>
    <xf numFmtId="0" fontId="8" fillId="6" borderId="0" xfId="0" applyFont="1" applyFill="1" applyBorder="1" applyProtection="1"/>
    <xf numFmtId="0" fontId="1" fillId="5" borderId="49" xfId="0" applyFont="1" applyFill="1" applyBorder="1" applyAlignment="1" applyProtection="1">
      <alignment horizontal="center"/>
    </xf>
    <xf numFmtId="0" fontId="1" fillId="6" borderId="31" xfId="0" applyFont="1" applyFill="1" applyBorder="1" applyAlignment="1" applyProtection="1">
      <alignment horizontal="center"/>
    </xf>
    <xf numFmtId="0" fontId="4" fillId="6" borderId="31" xfId="0" applyFont="1" applyFill="1" applyBorder="1" applyAlignment="1" applyProtection="1">
      <alignment horizontal="left"/>
    </xf>
    <xf numFmtId="0" fontId="1" fillId="6" borderId="33" xfId="0" applyFont="1" applyFill="1" applyBorder="1" applyAlignment="1" applyProtection="1">
      <alignment horizontal="center"/>
    </xf>
    <xf numFmtId="0" fontId="1" fillId="0" borderId="84" xfId="0" applyFont="1" applyFill="1" applyBorder="1" applyAlignment="1" applyProtection="1">
      <alignment vertical="center"/>
    </xf>
    <xf numFmtId="0" fontId="1" fillId="2" borderId="12" xfId="0" applyFont="1" applyFill="1" applyBorder="1" applyAlignment="1" applyProtection="1">
      <alignment vertical="center"/>
    </xf>
    <xf numFmtId="0" fontId="3" fillId="2" borderId="85" xfId="0" applyFont="1" applyFill="1" applyBorder="1" applyAlignment="1" applyProtection="1">
      <alignment vertical="center"/>
    </xf>
    <xf numFmtId="0" fontId="9" fillId="2" borderId="12" xfId="0" applyFont="1" applyFill="1" applyBorder="1" applyAlignment="1" applyProtection="1">
      <alignment horizontal="center" vertical="center" wrapText="1"/>
    </xf>
    <xf numFmtId="0" fontId="10" fillId="2" borderId="85" xfId="0" applyFont="1" applyFill="1" applyBorder="1" applyAlignment="1" applyProtection="1">
      <alignment horizontal="center" vertical="center"/>
    </xf>
    <xf numFmtId="0" fontId="0" fillId="2" borderId="14" xfId="0" applyFont="1" applyFill="1" applyBorder="1" applyAlignment="1" applyProtection="1">
      <alignment vertical="center"/>
    </xf>
    <xf numFmtId="0" fontId="0" fillId="2" borderId="0" xfId="0" applyFont="1" applyFill="1" applyAlignment="1" applyProtection="1">
      <alignment vertical="center"/>
    </xf>
    <xf numFmtId="0" fontId="0" fillId="2" borderId="0" xfId="0" applyFill="1" applyAlignment="1" applyProtection="1">
      <alignment vertical="center"/>
    </xf>
    <xf numFmtId="0" fontId="11" fillId="0" borderId="7" xfId="0" applyFont="1" applyFill="1" applyBorder="1" applyAlignment="1" applyProtection="1">
      <alignment horizontal="center" vertical="center"/>
    </xf>
    <xf numFmtId="0" fontId="11" fillId="2" borderId="8" xfId="0" applyFont="1" applyFill="1" applyBorder="1" applyAlignment="1" applyProtection="1">
      <alignment horizontal="center" vertical="center"/>
    </xf>
    <xf numFmtId="0" fontId="11" fillId="2" borderId="8" xfId="0" applyFont="1" applyFill="1" applyBorder="1" applyAlignment="1" applyProtection="1">
      <alignment horizontal="center" vertical="center" wrapText="1"/>
    </xf>
    <xf numFmtId="0" fontId="12" fillId="2" borderId="8" xfId="0" applyFont="1" applyFill="1" applyBorder="1" applyAlignment="1" applyProtection="1">
      <alignment horizontal="center" vertical="center" wrapText="1"/>
    </xf>
    <xf numFmtId="0" fontId="7" fillId="2" borderId="8" xfId="0" applyFont="1" applyFill="1" applyBorder="1" applyAlignment="1" applyProtection="1">
      <alignment horizontal="center" vertical="center" wrapText="1"/>
    </xf>
    <xf numFmtId="0" fontId="13" fillId="2" borderId="8" xfId="0" applyFont="1" applyFill="1" applyBorder="1" applyAlignment="1" applyProtection="1">
      <alignment horizontal="center" vertical="center" wrapText="1"/>
    </xf>
    <xf numFmtId="0" fontId="7" fillId="2" borderId="62" xfId="0" applyFont="1" applyFill="1" applyBorder="1" applyAlignment="1" applyProtection="1">
      <alignment horizontal="center" vertical="center" wrapText="1"/>
    </xf>
    <xf numFmtId="0" fontId="0" fillId="2" borderId="15" xfId="0" applyFont="1" applyFill="1" applyBorder="1" applyProtection="1"/>
    <xf numFmtId="0" fontId="0" fillId="2" borderId="0" xfId="0" applyFont="1" applyFill="1" applyProtection="1"/>
    <xf numFmtId="0" fontId="0" fillId="2" borderId="0" xfId="0" applyFill="1" applyProtection="1"/>
    <xf numFmtId="0" fontId="10" fillId="0" borderId="10" xfId="0" applyFont="1" applyFill="1" applyBorder="1" applyAlignment="1" applyProtection="1">
      <alignment horizontal="center" vertical="center"/>
    </xf>
    <xf numFmtId="0" fontId="14" fillId="7" borderId="11" xfId="0" applyFont="1" applyFill="1" applyBorder="1" applyAlignment="1" applyProtection="1">
      <alignment horizontal="left" vertical="center"/>
    </xf>
    <xf numFmtId="2" fontId="14" fillId="7" borderId="11" xfId="0" applyNumberFormat="1" applyFont="1" applyFill="1" applyBorder="1" applyAlignment="1" applyProtection="1">
      <alignment horizontal="right"/>
    </xf>
    <xf numFmtId="2" fontId="46" fillId="7" borderId="12" xfId="0" applyNumberFormat="1" applyFont="1" applyFill="1" applyBorder="1" applyProtection="1"/>
    <xf numFmtId="2" fontId="2" fillId="7" borderId="11" xfId="0" applyNumberFormat="1" applyFont="1" applyFill="1" applyBorder="1" applyAlignment="1" applyProtection="1">
      <alignment horizontal="center" vertical="center" wrapText="1"/>
    </xf>
    <xf numFmtId="2" fontId="1" fillId="7" borderId="11" xfId="0" applyNumberFormat="1" applyFont="1" applyFill="1" applyBorder="1" applyAlignment="1" applyProtection="1"/>
    <xf numFmtId="20" fontId="42" fillId="2" borderId="0" xfId="0" applyNumberFormat="1" applyFont="1" applyFill="1" applyProtection="1"/>
    <xf numFmtId="2" fontId="42" fillId="2" borderId="0" xfId="0" applyNumberFormat="1" applyFont="1" applyFill="1" applyBorder="1" applyProtection="1">
      <protection hidden="1"/>
    </xf>
    <xf numFmtId="2" fontId="42" fillId="2" borderId="0" xfId="0" applyNumberFormat="1" applyFont="1" applyFill="1" applyBorder="1" applyProtection="1"/>
    <xf numFmtId="0" fontId="42" fillId="2" borderId="0" xfId="0" applyFont="1" applyFill="1" applyBorder="1" applyProtection="1"/>
    <xf numFmtId="2" fontId="42" fillId="2" borderId="0" xfId="0" applyNumberFormat="1" applyFont="1" applyFill="1" applyBorder="1" applyAlignment="1" applyProtection="1">
      <alignment horizontal="center"/>
    </xf>
    <xf numFmtId="0" fontId="43" fillId="2" borderId="0" xfId="0" applyFont="1" applyFill="1" applyBorder="1" applyProtection="1"/>
    <xf numFmtId="20" fontId="43" fillId="2" borderId="0" xfId="0" applyNumberFormat="1" applyFont="1" applyFill="1" applyBorder="1" applyProtection="1"/>
    <xf numFmtId="0" fontId="43" fillId="2" borderId="0" xfId="0" applyNumberFormat="1" applyFont="1" applyFill="1" applyBorder="1" applyProtection="1"/>
    <xf numFmtId="2" fontId="43" fillId="2" borderId="0" xfId="0" applyNumberFormat="1" applyFont="1" applyFill="1" applyBorder="1" applyProtection="1"/>
    <xf numFmtId="2" fontId="0" fillId="2" borderId="14" xfId="0" applyNumberFormat="1" applyFont="1" applyFill="1" applyBorder="1" applyProtection="1"/>
    <xf numFmtId="2" fontId="46" fillId="7" borderId="13" xfId="0" applyNumberFormat="1" applyFont="1" applyFill="1" applyBorder="1" applyAlignment="1" applyProtection="1">
      <alignment horizontal="right"/>
    </xf>
    <xf numFmtId="2" fontId="0" fillId="2" borderId="15" xfId="0" applyNumberFormat="1" applyFont="1" applyFill="1" applyBorder="1" applyProtection="1"/>
    <xf numFmtId="2" fontId="0" fillId="2" borderId="14" xfId="0" applyNumberFormat="1" applyFill="1" applyBorder="1" applyProtection="1"/>
    <xf numFmtId="0" fontId="0" fillId="2" borderId="14" xfId="0" applyFont="1" applyFill="1" applyBorder="1" applyProtection="1"/>
    <xf numFmtId="2" fontId="0" fillId="2" borderId="16" xfId="0" applyNumberFormat="1" applyFill="1" applyBorder="1" applyAlignment="1" applyProtection="1">
      <alignment horizontal="center"/>
    </xf>
    <xf numFmtId="2" fontId="2" fillId="3" borderId="24" xfId="0" applyNumberFormat="1" applyFont="1" applyFill="1" applyBorder="1" applyAlignment="1" applyProtection="1">
      <alignment horizontal="center" vertical="center"/>
    </xf>
    <xf numFmtId="0" fontId="43" fillId="2" borderId="14" xfId="0" applyFont="1" applyFill="1" applyBorder="1" applyProtection="1"/>
    <xf numFmtId="2" fontId="44" fillId="4" borderId="0" xfId="0" applyNumberFormat="1" applyFont="1" applyFill="1" applyProtection="1"/>
    <xf numFmtId="0" fontId="7" fillId="2" borderId="0" xfId="0" applyFont="1" applyFill="1" applyBorder="1" applyAlignment="1" applyProtection="1"/>
    <xf numFmtId="0" fontId="40" fillId="2" borderId="0" xfId="0" applyFont="1" applyFill="1" applyProtection="1"/>
    <xf numFmtId="0" fontId="39" fillId="2" borderId="0" xfId="0" applyFont="1" applyFill="1" applyProtection="1"/>
    <xf numFmtId="0" fontId="9" fillId="2" borderId="0" xfId="0" applyFont="1" applyFill="1" applyBorder="1" applyAlignment="1" applyProtection="1"/>
    <xf numFmtId="0" fontId="8" fillId="2" borderId="0" xfId="0" applyFont="1" applyFill="1" applyBorder="1" applyAlignment="1" applyProtection="1">
      <alignment horizontal="left" vertical="center"/>
    </xf>
    <xf numFmtId="0" fontId="43" fillId="2" borderId="0" xfId="0" applyFont="1" applyFill="1" applyProtection="1"/>
    <xf numFmtId="0" fontId="22" fillId="2" borderId="0" xfId="0" applyFont="1" applyFill="1" applyBorder="1" applyAlignment="1" applyProtection="1">
      <alignment horizontal="center" vertical="center"/>
    </xf>
    <xf numFmtId="0" fontId="7" fillId="2" borderId="0" xfId="0" applyFont="1" applyFill="1" applyBorder="1" applyAlignment="1" applyProtection="1">
      <alignment horizontal="left"/>
    </xf>
    <xf numFmtId="0" fontId="22" fillId="2" borderId="0" xfId="0" applyFont="1" applyFill="1" applyBorder="1" applyProtection="1"/>
    <xf numFmtId="0" fontId="22" fillId="2" borderId="0" xfId="0" applyFont="1" applyFill="1" applyBorder="1" applyAlignment="1" applyProtection="1">
      <alignment vertical="center"/>
    </xf>
    <xf numFmtId="0" fontId="0" fillId="5" borderId="2" xfId="0" applyFont="1" applyFill="1" applyBorder="1" applyAlignment="1" applyProtection="1"/>
    <xf numFmtId="0" fontId="14" fillId="6" borderId="0" xfId="0" applyFont="1" applyFill="1" applyBorder="1" applyAlignment="1" applyProtection="1"/>
    <xf numFmtId="166" fontId="38" fillId="2" borderId="0" xfId="2" applyNumberFormat="1" applyFont="1" applyFill="1" applyBorder="1" applyAlignment="1" applyProtection="1">
      <alignment horizontal="left" vertical="center"/>
    </xf>
    <xf numFmtId="0" fontId="0" fillId="2" borderId="0" xfId="0" applyFont="1" applyFill="1" applyBorder="1" applyAlignment="1" applyProtection="1"/>
    <xf numFmtId="0" fontId="0" fillId="2" borderId="0" xfId="0" applyFont="1" applyFill="1" applyBorder="1" applyProtection="1"/>
    <xf numFmtId="0" fontId="0" fillId="2" borderId="0" xfId="0" applyFont="1" applyFill="1" applyBorder="1" applyAlignment="1" applyProtection="1">
      <alignment horizontal="left"/>
    </xf>
    <xf numFmtId="0" fontId="0" fillId="5" borderId="2" xfId="0" applyFill="1" applyBorder="1" applyAlignment="1" applyProtection="1"/>
    <xf numFmtId="0" fontId="0" fillId="6" borderId="0" xfId="0" applyFont="1" applyFill="1" applyBorder="1" applyAlignment="1" applyProtection="1"/>
    <xf numFmtId="0" fontId="0" fillId="2" borderId="17" xfId="0" applyFont="1" applyFill="1" applyBorder="1" applyAlignment="1" applyProtection="1"/>
    <xf numFmtId="0" fontId="0" fillId="2" borderId="0" xfId="0" applyFill="1" applyAlignment="1" applyProtection="1">
      <alignment horizontal="left" vertical="center"/>
    </xf>
    <xf numFmtId="0" fontId="25" fillId="5" borderId="2" xfId="1" applyFill="1" applyBorder="1" applyAlignment="1" applyProtection="1"/>
    <xf numFmtId="0" fontId="0" fillId="2" borderId="0" xfId="0" applyFont="1" applyFill="1" applyBorder="1" applyAlignment="1" applyProtection="1">
      <alignment horizontal="left" vertical="center"/>
    </xf>
    <xf numFmtId="0" fontId="0" fillId="2" borderId="2" xfId="0" applyFont="1" applyFill="1" applyBorder="1" applyAlignment="1" applyProtection="1">
      <alignment horizontal="left" vertical="center"/>
    </xf>
    <xf numFmtId="166" fontId="43" fillId="5" borderId="14" xfId="2" applyNumberFormat="1" applyFont="1" applyFill="1" applyBorder="1" applyAlignment="1" applyProtection="1">
      <alignment horizontal="left" vertical="top"/>
    </xf>
    <xf numFmtId="166" fontId="43" fillId="5" borderId="0" xfId="2" applyNumberFormat="1" applyFont="1" applyFill="1" applyBorder="1" applyAlignment="1" applyProtection="1">
      <alignment horizontal="left" vertical="top"/>
    </xf>
    <xf numFmtId="0" fontId="0" fillId="5" borderId="30" xfId="0" applyFont="1" applyFill="1" applyBorder="1" applyAlignment="1" applyProtection="1"/>
    <xf numFmtId="0" fontId="0" fillId="6" borderId="31" xfId="0" applyFont="1" applyFill="1" applyBorder="1" applyAlignment="1" applyProtection="1"/>
    <xf numFmtId="0" fontId="0" fillId="6" borderId="31" xfId="0" applyFill="1" applyBorder="1" applyProtection="1"/>
    <xf numFmtId="0" fontId="0" fillId="2" borderId="33" xfId="0" applyFont="1" applyFill="1" applyBorder="1" applyAlignment="1" applyProtection="1"/>
    <xf numFmtId="0" fontId="0" fillId="2" borderId="4" xfId="0" applyFill="1" applyBorder="1" applyAlignment="1" applyProtection="1">
      <alignment horizontal="left" vertical="center"/>
    </xf>
    <xf numFmtId="0" fontId="0" fillId="2" borderId="5" xfId="0" applyFont="1" applyFill="1" applyBorder="1" applyAlignment="1" applyProtection="1"/>
    <xf numFmtId="0" fontId="0" fillId="2" borderId="5" xfId="0" applyFont="1" applyFill="1" applyBorder="1" applyProtection="1"/>
    <xf numFmtId="0" fontId="43" fillId="5" borderId="14" xfId="0" applyFont="1" applyFill="1" applyBorder="1" applyAlignment="1" applyProtection="1">
      <alignment horizontal="left" vertical="top"/>
    </xf>
    <xf numFmtId="0" fontId="43" fillId="5" borderId="0" xfId="0" applyFont="1" applyFill="1" applyAlignment="1" applyProtection="1">
      <alignment horizontal="left" vertical="top"/>
    </xf>
    <xf numFmtId="0" fontId="2" fillId="2" borderId="82" xfId="0" applyFont="1" applyFill="1" applyBorder="1" applyAlignment="1" applyProtection="1">
      <alignment vertical="center"/>
    </xf>
    <xf numFmtId="0" fontId="43" fillId="5" borderId="0" xfId="0" applyFont="1" applyFill="1" applyBorder="1" applyAlignment="1" applyProtection="1">
      <alignment horizontal="left" vertical="top"/>
    </xf>
    <xf numFmtId="0" fontId="0" fillId="5" borderId="0" xfId="0" applyFont="1" applyFill="1" applyProtection="1"/>
    <xf numFmtId="0" fontId="0" fillId="5" borderId="0" xfId="0" applyFont="1" applyFill="1" applyBorder="1" applyProtection="1"/>
    <xf numFmtId="0" fontId="0" fillId="6" borderId="0" xfId="0" applyFont="1" applyFill="1" applyBorder="1" applyProtection="1"/>
    <xf numFmtId="0" fontId="28" fillId="6" borderId="0" xfId="0" applyFont="1" applyFill="1" applyBorder="1" applyAlignment="1" applyProtection="1">
      <alignment wrapText="1"/>
    </xf>
    <xf numFmtId="0" fontId="0" fillId="6" borderId="0" xfId="0" applyFill="1" applyBorder="1" applyAlignment="1" applyProtection="1"/>
    <xf numFmtId="0" fontId="0" fillId="2" borderId="0" xfId="0" applyFill="1" applyBorder="1" applyAlignment="1" applyProtection="1"/>
    <xf numFmtId="0" fontId="0" fillId="5" borderId="0" xfId="0" applyFont="1" applyFill="1" applyBorder="1" applyAlignment="1" applyProtection="1"/>
    <xf numFmtId="0" fontId="2" fillId="2" borderId="0" xfId="0" applyFont="1" applyFill="1" applyBorder="1" applyAlignment="1" applyProtection="1">
      <alignment horizontal="center"/>
    </xf>
    <xf numFmtId="0" fontId="4" fillId="6" borderId="0" xfId="0" applyFont="1" applyFill="1" applyProtection="1"/>
    <xf numFmtId="0" fontId="0" fillId="6" borderId="0" xfId="0" applyFont="1" applyFill="1" applyBorder="1" applyAlignment="1" applyProtection="1">
      <alignment horizontal="center"/>
    </xf>
    <xf numFmtId="0" fontId="0" fillId="2" borderId="0" xfId="0" applyFont="1" applyFill="1" applyBorder="1" applyAlignment="1" applyProtection="1">
      <alignment horizontal="center"/>
    </xf>
    <xf numFmtId="0" fontId="0" fillId="6" borderId="0" xfId="0" applyFont="1" applyFill="1" applyAlignment="1" applyProtection="1">
      <alignment horizontal="center"/>
    </xf>
    <xf numFmtId="0" fontId="0" fillId="2" borderId="0" xfId="0" applyFont="1" applyFill="1" applyAlignment="1" applyProtection="1">
      <alignment horizontal="center"/>
    </xf>
    <xf numFmtId="49" fontId="33" fillId="2" borderId="99" xfId="0" applyNumberFormat="1" applyFont="1" applyFill="1" applyBorder="1" applyAlignment="1">
      <alignment horizontal="center" vertical="top"/>
    </xf>
    <xf numFmtId="0" fontId="2" fillId="2" borderId="99" xfId="0" applyFont="1" applyFill="1" applyBorder="1" applyAlignment="1">
      <alignment horizontal="center" vertical="center"/>
    </xf>
    <xf numFmtId="0" fontId="2" fillId="2" borderId="96" xfId="0" applyFont="1" applyFill="1" applyBorder="1" applyAlignment="1">
      <alignment vertical="center"/>
    </xf>
    <xf numFmtId="0" fontId="2" fillId="2" borderId="99" xfId="0" applyFont="1" applyFill="1" applyBorder="1" applyAlignment="1">
      <alignment vertical="center"/>
    </xf>
    <xf numFmtId="0" fontId="0" fillId="2" borderId="98" xfId="0" applyFill="1" applyBorder="1"/>
    <xf numFmtId="0" fontId="0" fillId="2" borderId="13" xfId="0" applyFont="1" applyFill="1" applyBorder="1" applyAlignment="1" applyProtection="1">
      <alignment horizontal="center"/>
      <protection locked="0"/>
    </xf>
    <xf numFmtId="0" fontId="0" fillId="2" borderId="105" xfId="0" applyFont="1" applyFill="1" applyBorder="1" applyAlignment="1" applyProtection="1">
      <alignment horizontal="center"/>
      <protection locked="0"/>
    </xf>
    <xf numFmtId="2" fontId="0" fillId="2" borderId="47" xfId="0" applyNumberFormat="1" applyFill="1" applyBorder="1" applyAlignment="1" applyProtection="1">
      <alignment horizontal="center"/>
      <protection locked="0"/>
    </xf>
    <xf numFmtId="0" fontId="0" fillId="2" borderId="47" xfId="0" applyFont="1" applyFill="1" applyBorder="1" applyAlignment="1" applyProtection="1">
      <alignment horizontal="center"/>
      <protection locked="0"/>
    </xf>
    <xf numFmtId="0" fontId="14" fillId="2" borderId="17" xfId="0" applyFont="1" applyFill="1" applyBorder="1" applyAlignment="1" applyProtection="1"/>
    <xf numFmtId="0" fontId="0" fillId="2" borderId="85" xfId="0" applyFont="1" applyFill="1" applyBorder="1" applyAlignment="1" applyProtection="1">
      <alignment horizontal="center"/>
      <protection locked="0"/>
    </xf>
    <xf numFmtId="0" fontId="2" fillId="2" borderId="47" xfId="0" applyFont="1" applyFill="1" applyBorder="1" applyAlignment="1" applyProtection="1">
      <alignment horizontal="center" vertical="center"/>
    </xf>
    <xf numFmtId="0" fontId="11" fillId="2" borderId="68" xfId="0" applyFont="1" applyFill="1" applyBorder="1" applyAlignment="1" applyProtection="1">
      <alignment horizontal="center" wrapText="1"/>
    </xf>
    <xf numFmtId="0" fontId="11" fillId="2" borderId="47" xfId="0" applyFont="1" applyFill="1" applyBorder="1" applyAlignment="1" applyProtection="1">
      <alignment horizontal="center" vertical="center"/>
    </xf>
    <xf numFmtId="0" fontId="11" fillId="2" borderId="15" xfId="0" applyFont="1" applyFill="1" applyBorder="1" applyAlignment="1" applyProtection="1">
      <alignment vertical="center" wrapText="1"/>
    </xf>
    <xf numFmtId="0" fontId="10" fillId="0" borderId="47" xfId="0" applyFont="1" applyBorder="1" applyAlignment="1" applyProtection="1">
      <alignment horizontal="center" vertical="center"/>
      <protection locked="0"/>
    </xf>
    <xf numFmtId="2" fontId="0" fillId="2" borderId="79" xfId="0" applyNumberFormat="1" applyFill="1" applyBorder="1" applyProtection="1"/>
    <xf numFmtId="0" fontId="14" fillId="0" borderId="11" xfId="0" applyFont="1" applyFill="1" applyBorder="1" applyAlignment="1" applyProtection="1">
      <alignment horizontal="left" vertical="center"/>
    </xf>
    <xf numFmtId="20" fontId="14" fillId="0" borderId="11" xfId="0" applyNumberFormat="1" applyFont="1" applyFill="1" applyBorder="1" applyAlignment="1" applyProtection="1">
      <alignment horizontal="right"/>
      <protection locked="0"/>
    </xf>
    <xf numFmtId="164" fontId="14" fillId="0" borderId="11" xfId="0" applyNumberFormat="1" applyFont="1" applyFill="1" applyBorder="1" applyAlignment="1" applyProtection="1">
      <alignment horizontal="right"/>
      <protection locked="0"/>
    </xf>
    <xf numFmtId="2" fontId="14" fillId="0" borderId="11" xfId="0" applyNumberFormat="1" applyFont="1" applyFill="1" applyBorder="1" applyAlignment="1" applyProtection="1">
      <alignment horizontal="right"/>
    </xf>
    <xf numFmtId="2" fontId="46" fillId="0" borderId="12" xfId="0" applyNumberFormat="1" applyFont="1" applyFill="1" applyBorder="1" applyProtection="1"/>
    <xf numFmtId="2" fontId="46" fillId="0" borderId="13" xfId="0" applyNumberFormat="1" applyFont="1" applyFill="1" applyBorder="1" applyAlignment="1" applyProtection="1">
      <alignment horizontal="right"/>
    </xf>
    <xf numFmtId="2" fontId="2" fillId="0" borderId="11" xfId="0" applyNumberFormat="1" applyFont="1" applyFill="1" applyBorder="1" applyAlignment="1" applyProtection="1">
      <alignment horizontal="center" vertical="center" wrapText="1"/>
    </xf>
    <xf numFmtId="20" fontId="2" fillId="0" borderId="11" xfId="0" applyNumberFormat="1" applyFont="1" applyFill="1" applyBorder="1" applyAlignment="1" applyProtection="1">
      <alignment horizontal="center" vertical="center" wrapText="1"/>
      <protection locked="0"/>
    </xf>
    <xf numFmtId="2" fontId="1" fillId="0" borderId="11" xfId="0" applyNumberFormat="1" applyFont="1" applyFill="1" applyBorder="1" applyAlignment="1" applyProtection="1"/>
    <xf numFmtId="2" fontId="8" fillId="0" borderId="13" xfId="0" applyNumberFormat="1" applyFont="1" applyFill="1" applyBorder="1" applyAlignment="1" applyProtection="1">
      <alignment horizontal="left"/>
      <protection locked="0"/>
    </xf>
    <xf numFmtId="1" fontId="0" fillId="0" borderId="107" xfId="0" applyNumberFormat="1" applyFont="1" applyFill="1" applyBorder="1" applyAlignment="1" applyProtection="1">
      <alignment horizontal="center" vertical="center"/>
      <protection locked="0"/>
    </xf>
    <xf numFmtId="2" fontId="0" fillId="2" borderId="79" xfId="0" applyNumberFormat="1" applyFont="1" applyFill="1" applyBorder="1" applyProtection="1"/>
    <xf numFmtId="2" fontId="0" fillId="2" borderId="109" xfId="0" applyNumberFormat="1" applyFill="1" applyBorder="1" applyAlignment="1" applyProtection="1">
      <alignment horizontal="center"/>
    </xf>
    <xf numFmtId="0" fontId="7" fillId="2" borderId="112" xfId="0" applyFont="1" applyFill="1" applyBorder="1" applyAlignment="1" applyProtection="1">
      <alignment horizontal="center" vertical="center"/>
    </xf>
    <xf numFmtId="0" fontId="10" fillId="0" borderId="116" xfId="0" applyFont="1" applyFill="1" applyBorder="1" applyAlignment="1" applyProtection="1">
      <alignment horizontal="center" vertical="center"/>
    </xf>
    <xf numFmtId="0" fontId="14" fillId="7" borderId="113" xfId="0" applyFont="1" applyFill="1" applyBorder="1" applyAlignment="1" applyProtection="1">
      <alignment horizontal="left" vertical="center"/>
    </xf>
    <xf numFmtId="20" fontId="14" fillId="7" borderId="113" xfId="0" applyNumberFormat="1" applyFont="1" applyFill="1" applyBorder="1" applyAlignment="1" applyProtection="1">
      <alignment horizontal="right"/>
      <protection locked="0"/>
    </xf>
    <xf numFmtId="164" fontId="14" fillId="7" borderId="113" xfId="0" applyNumberFormat="1" applyFont="1" applyFill="1" applyBorder="1" applyAlignment="1" applyProtection="1">
      <alignment horizontal="right"/>
      <protection locked="0"/>
    </xf>
    <xf numFmtId="2" fontId="14" fillId="7" borderId="113" xfId="0" applyNumberFormat="1" applyFont="1" applyFill="1" applyBorder="1" applyAlignment="1" applyProtection="1">
      <alignment horizontal="right"/>
    </xf>
    <xf numFmtId="2" fontId="14" fillId="7" borderId="113" xfId="0" applyNumberFormat="1" applyFont="1" applyFill="1" applyBorder="1" applyAlignment="1" applyProtection="1">
      <alignment horizontal="right"/>
      <protection locked="0"/>
    </xf>
    <xf numFmtId="2" fontId="46" fillId="7" borderId="113" xfId="0" applyNumberFormat="1" applyFont="1" applyFill="1" applyBorder="1" applyProtection="1"/>
    <xf numFmtId="2" fontId="46" fillId="7" borderId="114" xfId="0" applyNumberFormat="1" applyFont="1" applyFill="1" applyBorder="1" applyAlignment="1" applyProtection="1">
      <alignment horizontal="right"/>
    </xf>
    <xf numFmtId="2" fontId="2" fillId="7" borderId="113" xfId="0" applyNumberFormat="1" applyFont="1" applyFill="1" applyBorder="1" applyAlignment="1" applyProtection="1">
      <alignment horizontal="center" vertical="center" wrapText="1"/>
    </xf>
    <xf numFmtId="20" fontId="2" fillId="7" borderId="113" xfId="0" applyNumberFormat="1" applyFont="1" applyFill="1" applyBorder="1" applyAlignment="1" applyProtection="1">
      <alignment horizontal="center" vertical="center" wrapText="1"/>
      <protection locked="0"/>
    </xf>
    <xf numFmtId="2" fontId="1" fillId="7" borderId="113" xfId="0" applyNumberFormat="1" applyFont="1" applyFill="1" applyBorder="1" applyAlignment="1" applyProtection="1"/>
    <xf numFmtId="2" fontId="8" fillId="7" borderId="115" xfId="0" applyNumberFormat="1" applyFont="1" applyFill="1" applyBorder="1" applyAlignment="1" applyProtection="1">
      <alignment horizontal="left"/>
      <protection locked="0"/>
    </xf>
    <xf numFmtId="0" fontId="2" fillId="6" borderId="88" xfId="0" applyFont="1" applyFill="1" applyBorder="1" applyAlignment="1" applyProtection="1">
      <alignment horizontal="center" vertical="center"/>
    </xf>
    <xf numFmtId="0" fontId="2" fillId="6" borderId="93" xfId="0" applyFont="1" applyFill="1" applyBorder="1" applyAlignment="1" applyProtection="1">
      <alignment horizontal="center" vertical="center"/>
    </xf>
    <xf numFmtId="167" fontId="2" fillId="6" borderId="88" xfId="0" applyNumberFormat="1" applyFont="1" applyFill="1" applyBorder="1" applyAlignment="1" applyProtection="1">
      <alignment horizontal="center" vertical="center" wrapText="1"/>
    </xf>
    <xf numFmtId="167" fontId="2" fillId="6" borderId="89" xfId="0" applyNumberFormat="1" applyFont="1" applyFill="1" applyBorder="1" applyAlignment="1" applyProtection="1">
      <alignment horizontal="center" vertical="center" wrapText="1"/>
    </xf>
    <xf numFmtId="0" fontId="2" fillId="5" borderId="35" xfId="0" applyFont="1" applyFill="1" applyBorder="1" applyAlignment="1" applyProtection="1">
      <alignment vertical="center"/>
    </xf>
    <xf numFmtId="0" fontId="2" fillId="5" borderId="34" xfId="0" applyFont="1" applyFill="1" applyBorder="1" applyAlignment="1" applyProtection="1">
      <alignment vertical="center"/>
    </xf>
    <xf numFmtId="0" fontId="2" fillId="5" borderId="38" xfId="0" applyFont="1" applyFill="1" applyBorder="1" applyAlignment="1" applyProtection="1">
      <alignment vertical="center"/>
    </xf>
    <xf numFmtId="0" fontId="26" fillId="5" borderId="76" xfId="0" applyFont="1" applyFill="1" applyBorder="1" applyAlignment="1" applyProtection="1">
      <alignment vertical="center" wrapText="1"/>
      <protection locked="0"/>
    </xf>
    <xf numFmtId="0" fontId="26" fillId="5" borderId="52" xfId="0" applyFont="1" applyFill="1" applyBorder="1" applyAlignment="1" applyProtection="1">
      <alignment vertical="center" wrapText="1"/>
      <protection locked="0"/>
    </xf>
    <xf numFmtId="0" fontId="26" fillId="5" borderId="53" xfId="0" applyFont="1" applyFill="1" applyBorder="1" applyAlignment="1" applyProtection="1">
      <alignment vertical="center" wrapText="1"/>
      <protection locked="0"/>
    </xf>
    <xf numFmtId="0" fontId="26" fillId="5" borderId="4" xfId="0" applyFont="1" applyFill="1" applyBorder="1" applyAlignment="1" applyProtection="1">
      <alignment vertical="center" wrapText="1"/>
      <protection locked="0"/>
    </xf>
    <xf numFmtId="0" fontId="26" fillId="5" borderId="5" xfId="0" applyFont="1" applyFill="1" applyBorder="1" applyAlignment="1" applyProtection="1">
      <alignment vertical="center" wrapText="1"/>
      <protection locked="0"/>
    </xf>
    <xf numFmtId="0" fontId="26" fillId="5" borderId="40" xfId="0" applyFont="1" applyFill="1" applyBorder="1" applyAlignment="1" applyProtection="1">
      <alignment vertical="center" wrapText="1"/>
      <protection locked="0"/>
    </xf>
    <xf numFmtId="0" fontId="9" fillId="2" borderId="12" xfId="0" applyFont="1" applyFill="1" applyBorder="1" applyAlignment="1" applyProtection="1">
      <alignment horizontal="center" vertical="center"/>
    </xf>
    <xf numFmtId="0" fontId="2" fillId="0" borderId="2" xfId="0" applyFont="1" applyFill="1" applyBorder="1" applyAlignment="1" applyProtection="1">
      <alignment horizontal="center" vertical="center" wrapText="1"/>
    </xf>
    <xf numFmtId="0" fontId="2" fillId="0" borderId="108" xfId="0" applyFont="1" applyFill="1" applyBorder="1" applyAlignment="1" applyProtection="1">
      <alignment horizontal="center" vertical="center" wrapText="1"/>
    </xf>
    <xf numFmtId="2" fontId="2" fillId="3" borderId="109" xfId="0" applyNumberFormat="1" applyFont="1" applyFill="1" applyBorder="1" applyAlignment="1" applyProtection="1">
      <alignment horizontal="center" vertical="center"/>
    </xf>
    <xf numFmtId="0" fontId="15" fillId="0" borderId="110" xfId="0" applyFont="1" applyFill="1" applyBorder="1" applyAlignment="1" applyProtection="1">
      <alignment horizontal="center" vertical="center" wrapText="1"/>
    </xf>
    <xf numFmtId="0" fontId="15" fillId="0" borderId="108" xfId="0" applyFont="1" applyFill="1" applyBorder="1" applyAlignment="1" applyProtection="1">
      <alignment horizontal="center" vertical="center" wrapText="1"/>
    </xf>
    <xf numFmtId="20" fontId="17" fillId="2" borderId="109" xfId="0" applyNumberFormat="1" applyFont="1" applyFill="1" applyBorder="1" applyAlignment="1" applyProtection="1">
      <alignment horizontal="center" vertical="center"/>
    </xf>
    <xf numFmtId="0" fontId="19" fillId="0" borderId="84" xfId="0" applyFont="1" applyFill="1" applyBorder="1" applyAlignment="1" applyProtection="1">
      <alignment horizontal="center" vertical="center"/>
      <protection locked="0"/>
    </xf>
    <xf numFmtId="0" fontId="8" fillId="0" borderId="17" xfId="0" applyFont="1" applyBorder="1" applyAlignment="1" applyProtection="1">
      <alignment horizontal="center" vertical="center" wrapText="1"/>
    </xf>
    <xf numFmtId="0" fontId="1" fillId="5" borderId="48" xfId="0" applyFont="1" applyFill="1" applyBorder="1" applyAlignment="1" applyProtection="1"/>
    <xf numFmtId="0" fontId="1" fillId="5" borderId="28" xfId="0" applyFont="1" applyFill="1" applyBorder="1" applyAlignment="1" applyProtection="1"/>
    <xf numFmtId="0" fontId="2" fillId="6" borderId="87" xfId="0" applyFont="1" applyFill="1" applyBorder="1" applyAlignment="1" applyProtection="1">
      <alignment horizontal="center" vertical="center"/>
    </xf>
    <xf numFmtId="0" fontId="2" fillId="6" borderId="56" xfId="0" applyFont="1" applyFill="1" applyBorder="1" applyAlignment="1" applyProtection="1">
      <alignment horizontal="center" vertical="center"/>
    </xf>
    <xf numFmtId="0" fontId="5" fillId="6" borderId="6" xfId="0" applyFont="1" applyFill="1" applyBorder="1" applyAlignment="1" applyProtection="1">
      <alignment horizontal="center" vertical="center"/>
      <protection locked="0"/>
    </xf>
    <xf numFmtId="0" fontId="5" fillId="6" borderId="3" xfId="0" applyFont="1" applyFill="1" applyBorder="1" applyAlignment="1" applyProtection="1">
      <alignment horizontal="center" vertical="center"/>
      <protection locked="0"/>
    </xf>
    <xf numFmtId="0" fontId="6" fillId="6" borderId="3" xfId="0" applyFont="1" applyFill="1" applyBorder="1" applyAlignment="1" applyProtection="1">
      <alignment horizontal="center" vertical="center"/>
      <protection locked="0"/>
    </xf>
    <xf numFmtId="0" fontId="6" fillId="6" borderId="27" xfId="0" applyFont="1" applyFill="1" applyBorder="1" applyAlignment="1" applyProtection="1">
      <alignment horizontal="center" vertical="center"/>
      <protection locked="0"/>
    </xf>
    <xf numFmtId="0" fontId="6" fillId="6" borderId="91" xfId="0" applyFont="1" applyFill="1" applyBorder="1" applyAlignment="1" applyProtection="1">
      <alignment horizontal="center" vertical="center"/>
      <protection locked="0"/>
    </xf>
    <xf numFmtId="0" fontId="7" fillId="6" borderId="43" xfId="0" applyFont="1" applyFill="1" applyBorder="1" applyAlignment="1" applyProtection="1">
      <alignment horizontal="center" vertical="center"/>
    </xf>
    <xf numFmtId="0" fontId="2" fillId="6" borderId="3" xfId="0" applyFont="1" applyFill="1" applyBorder="1" applyAlignment="1" applyProtection="1">
      <alignment horizontal="center" vertical="center"/>
      <protection locked="0"/>
    </xf>
    <xf numFmtId="0" fontId="2" fillId="6" borderId="92" xfId="0" applyFont="1" applyFill="1" applyBorder="1" applyAlignment="1" applyProtection="1">
      <alignment horizontal="center" vertical="center"/>
      <protection locked="0"/>
    </xf>
    <xf numFmtId="0" fontId="2" fillId="6" borderId="28" xfId="0" applyFont="1" applyFill="1" applyBorder="1" applyAlignment="1" applyProtection="1">
      <alignment horizontal="center" vertical="center" wrapText="1"/>
    </xf>
    <xf numFmtId="0" fontId="2" fillId="6" borderId="29" xfId="0" applyFont="1" applyFill="1" applyBorder="1" applyAlignment="1" applyProtection="1">
      <alignment horizontal="center" vertical="center" wrapText="1"/>
    </xf>
    <xf numFmtId="0" fontId="2" fillId="6" borderId="25" xfId="0" applyFont="1" applyFill="1" applyBorder="1" applyAlignment="1" applyProtection="1">
      <alignment horizontal="center" vertical="center" wrapText="1"/>
    </xf>
    <xf numFmtId="0" fontId="2" fillId="6" borderId="9" xfId="0" applyFont="1" applyFill="1" applyBorder="1" applyAlignment="1" applyProtection="1">
      <alignment horizontal="center" vertical="center" wrapText="1"/>
    </xf>
    <xf numFmtId="0" fontId="2" fillId="6" borderId="45" xfId="0" applyFont="1" applyFill="1" applyBorder="1" applyAlignment="1" applyProtection="1">
      <alignment horizontal="center" vertical="center" wrapText="1"/>
    </xf>
    <xf numFmtId="0" fontId="2" fillId="6" borderId="46" xfId="0" applyFont="1" applyFill="1" applyBorder="1" applyAlignment="1" applyProtection="1">
      <alignment horizontal="center" vertical="center" wrapText="1"/>
    </xf>
    <xf numFmtId="165" fontId="44" fillId="3" borderId="23" xfId="0" applyNumberFormat="1" applyFont="1" applyFill="1" applyBorder="1" applyAlignment="1" applyProtection="1">
      <alignment horizontal="center" vertical="center"/>
    </xf>
    <xf numFmtId="165" fontId="44" fillId="3" borderId="83" xfId="0" applyNumberFormat="1" applyFont="1" applyFill="1" applyBorder="1" applyAlignment="1" applyProtection="1">
      <alignment horizontal="center" vertical="center"/>
    </xf>
    <xf numFmtId="0" fontId="2" fillId="0" borderId="101" xfId="0" applyFont="1" applyFill="1" applyBorder="1" applyAlignment="1" applyProtection="1">
      <alignment horizontal="center" vertical="center"/>
    </xf>
    <xf numFmtId="0" fontId="2" fillId="0" borderId="95" xfId="0" applyFont="1" applyFill="1" applyBorder="1" applyAlignment="1" applyProtection="1">
      <alignment horizontal="center" vertical="center"/>
    </xf>
    <xf numFmtId="0" fontId="2" fillId="0" borderId="68" xfId="0" applyFont="1" applyFill="1" applyBorder="1" applyAlignment="1" applyProtection="1">
      <alignment horizontal="center" vertical="center"/>
    </xf>
    <xf numFmtId="0" fontId="18" fillId="2" borderId="1" xfId="0" applyFont="1" applyFill="1" applyBorder="1" applyAlignment="1" applyProtection="1">
      <alignment horizontal="center"/>
    </xf>
    <xf numFmtId="2" fontId="2" fillId="2" borderId="109" xfId="0" applyNumberFormat="1" applyFont="1" applyFill="1" applyBorder="1" applyAlignment="1" applyProtection="1">
      <alignment horizontal="center" vertical="center"/>
    </xf>
    <xf numFmtId="2" fontId="2" fillId="2" borderId="16" xfId="0" applyNumberFormat="1" applyFont="1" applyFill="1" applyBorder="1" applyAlignment="1" applyProtection="1">
      <alignment horizontal="center" vertical="center"/>
    </xf>
    <xf numFmtId="20" fontId="17" fillId="2" borderId="16" xfId="0" applyNumberFormat="1" applyFont="1" applyFill="1" applyBorder="1" applyAlignment="1" applyProtection="1">
      <alignment horizontal="center" vertical="center"/>
    </xf>
    <xf numFmtId="0" fontId="0" fillId="2" borderId="75" xfId="0" applyFont="1" applyFill="1" applyBorder="1" applyAlignment="1" applyProtection="1">
      <alignment vertical="center"/>
      <protection locked="0"/>
    </xf>
    <xf numFmtId="0" fontId="24" fillId="2" borderId="5" xfId="0" applyFont="1" applyFill="1" applyBorder="1" applyAlignment="1" applyProtection="1">
      <alignment horizontal="center" vertical="center" wrapText="1"/>
    </xf>
    <xf numFmtId="0" fontId="24" fillId="2" borderId="5" xfId="0" applyFont="1" applyFill="1" applyBorder="1" applyAlignment="1" applyProtection="1">
      <alignment horizontal="center" vertical="center"/>
    </xf>
    <xf numFmtId="0" fontId="8" fillId="2" borderId="80" xfId="0" applyFont="1" applyFill="1" applyBorder="1" applyAlignment="1" applyProtection="1">
      <alignment horizontal="center" vertical="center"/>
      <protection locked="0"/>
    </xf>
    <xf numFmtId="0" fontId="8" fillId="2" borderId="21" xfId="0" applyFont="1" applyFill="1" applyBorder="1" applyAlignment="1" applyProtection="1">
      <alignment horizontal="center" vertical="center"/>
      <protection locked="0"/>
    </xf>
    <xf numFmtId="0" fontId="8" fillId="2" borderId="81" xfId="0" applyFont="1" applyFill="1" applyBorder="1" applyAlignment="1" applyProtection="1">
      <alignment horizontal="center" vertical="center"/>
      <protection locked="0"/>
    </xf>
    <xf numFmtId="0" fontId="2" fillId="2" borderId="37" xfId="0" applyFont="1" applyFill="1" applyBorder="1" applyAlignment="1" applyProtection="1">
      <alignment vertical="center"/>
    </xf>
    <xf numFmtId="0" fontId="2" fillId="2" borderId="36" xfId="0" applyFont="1" applyFill="1" applyBorder="1" applyAlignment="1" applyProtection="1">
      <alignment vertical="center"/>
    </xf>
    <xf numFmtId="0" fontId="2" fillId="2" borderId="41" xfId="0" applyFont="1" applyFill="1" applyBorder="1" applyAlignment="1" applyProtection="1">
      <alignment vertical="center"/>
    </xf>
    <xf numFmtId="0" fontId="7" fillId="0" borderId="10" xfId="0" applyFont="1" applyFill="1" applyBorder="1" applyAlignment="1" applyProtection="1">
      <alignment horizontal="center" vertical="center"/>
      <protection locked="0"/>
    </xf>
    <xf numFmtId="0" fontId="20" fillId="0" borderId="100" xfId="0" applyFont="1" applyFill="1" applyBorder="1" applyAlignment="1" applyProtection="1">
      <alignment horizontal="center" vertical="center"/>
      <protection locked="0"/>
    </xf>
    <xf numFmtId="0" fontId="49" fillId="0" borderId="102" xfId="0" applyFont="1" applyFill="1" applyBorder="1" applyAlignment="1" applyProtection="1">
      <alignment horizontal="center" vertical="center"/>
      <protection locked="0"/>
    </xf>
    <xf numFmtId="0" fontId="49" fillId="0" borderId="103" xfId="0" applyFont="1" applyFill="1" applyBorder="1" applyAlignment="1" applyProtection="1">
      <alignment horizontal="center" vertical="center"/>
      <protection locked="0"/>
    </xf>
    <xf numFmtId="0" fontId="49" fillId="0" borderId="104" xfId="0" applyFont="1" applyFill="1" applyBorder="1" applyAlignment="1" applyProtection="1">
      <alignment horizontal="center" vertical="center"/>
      <protection locked="0"/>
    </xf>
    <xf numFmtId="0" fontId="27" fillId="2" borderId="51" xfId="0" applyFont="1" applyFill="1" applyBorder="1" applyAlignment="1" applyProtection="1">
      <alignment vertical="center"/>
      <protection locked="0"/>
    </xf>
    <xf numFmtId="0" fontId="27" fillId="2" borderId="52" xfId="0" applyFont="1" applyFill="1" applyBorder="1" applyAlignment="1" applyProtection="1">
      <alignment vertical="center"/>
      <protection locked="0"/>
    </xf>
    <xf numFmtId="0" fontId="27" fillId="2" borderId="53" xfId="0" applyFont="1" applyFill="1" applyBorder="1" applyAlignment="1" applyProtection="1">
      <alignment vertical="center"/>
      <protection locked="0"/>
    </xf>
    <xf numFmtId="0" fontId="27" fillId="2" borderId="75" xfId="0" applyFont="1" applyFill="1" applyBorder="1" applyAlignment="1" applyProtection="1">
      <alignment vertical="center"/>
      <protection locked="0"/>
    </xf>
    <xf numFmtId="0" fontId="27" fillId="2" borderId="5" xfId="0" applyFont="1" applyFill="1" applyBorder="1" applyAlignment="1" applyProtection="1">
      <alignment vertical="center"/>
      <protection locked="0"/>
    </xf>
    <xf numFmtId="0" fontId="27" fillId="2" borderId="40" xfId="0" applyFont="1" applyFill="1" applyBorder="1" applyAlignment="1" applyProtection="1">
      <alignment vertical="center"/>
      <protection locked="0"/>
    </xf>
    <xf numFmtId="0" fontId="0" fillId="0" borderId="106" xfId="0" applyFont="1" applyFill="1" applyBorder="1" applyAlignment="1" applyProtection="1">
      <alignment horizontal="center" vertical="center"/>
    </xf>
    <xf numFmtId="0" fontId="11" fillId="2" borderId="79" xfId="0" applyFont="1" applyFill="1" applyBorder="1" applyAlignment="1" applyProtection="1">
      <alignment horizontal="center" vertical="center" wrapText="1"/>
    </xf>
    <xf numFmtId="0" fontId="11" fillId="2" borderId="14" xfId="0" applyFont="1" applyFill="1" applyBorder="1" applyAlignment="1" applyProtection="1">
      <alignment horizontal="center" vertical="center" wrapText="1"/>
    </xf>
    <xf numFmtId="0" fontId="35" fillId="2" borderId="4" xfId="0" quotePrefix="1" applyFont="1" applyFill="1" applyBorder="1" applyAlignment="1">
      <alignment horizontal="center"/>
    </xf>
    <xf numFmtId="0" fontId="35" fillId="2" borderId="5" xfId="0" applyFont="1" applyFill="1" applyBorder="1" applyAlignment="1">
      <alignment horizontal="center"/>
    </xf>
    <xf numFmtId="0" fontId="35" fillId="2" borderId="6" xfId="0" applyFont="1" applyFill="1" applyBorder="1" applyAlignment="1">
      <alignment horizontal="center"/>
    </xf>
    <xf numFmtId="0" fontId="45" fillId="2" borderId="72" xfId="0" applyFont="1" applyFill="1" applyBorder="1" applyAlignment="1">
      <alignment horizontal="left" vertical="center"/>
    </xf>
    <xf numFmtId="0" fontId="45" fillId="2" borderId="73" xfId="0" applyFont="1" applyFill="1" applyBorder="1" applyAlignment="1">
      <alignment horizontal="left" vertical="center"/>
    </xf>
    <xf numFmtId="0" fontId="45" fillId="2" borderId="74" xfId="0" applyFont="1" applyFill="1" applyBorder="1" applyAlignment="1">
      <alignment horizontal="left" vertical="center"/>
    </xf>
    <xf numFmtId="0" fontId="14" fillId="2" borderId="3" xfId="0" applyFont="1" applyFill="1" applyBorder="1" applyAlignment="1">
      <alignment horizontal="left"/>
    </xf>
    <xf numFmtId="0" fontId="34" fillId="2" borderId="6" xfId="0" applyFont="1" applyFill="1" applyBorder="1" applyAlignment="1">
      <alignment horizontal="center"/>
    </xf>
    <xf numFmtId="0" fontId="34" fillId="2" borderId="3" xfId="0" applyFont="1" applyFill="1" applyBorder="1" applyAlignment="1">
      <alignment horizontal="center"/>
    </xf>
    <xf numFmtId="0" fontId="0" fillId="2" borderId="32" xfId="0" applyFont="1" applyFill="1" applyBorder="1" applyAlignment="1">
      <alignment horizontal="center" vertical="center"/>
    </xf>
    <xf numFmtId="0" fontId="0" fillId="2" borderId="20" xfId="0" applyFont="1" applyFill="1" applyBorder="1" applyAlignment="1">
      <alignment horizontal="center" vertical="center"/>
    </xf>
    <xf numFmtId="0" fontId="35" fillId="2" borderId="67" xfId="0" applyFont="1" applyFill="1" applyBorder="1" applyAlignment="1">
      <alignment horizontal="center"/>
    </xf>
    <xf numFmtId="0" fontId="35" fillId="2" borderId="68" xfId="0" applyFont="1" applyFill="1" applyBorder="1" applyAlignment="1">
      <alignment horizontal="center"/>
    </xf>
    <xf numFmtId="0" fontId="2" fillId="2" borderId="63" xfId="0" applyFont="1" applyFill="1" applyBorder="1" applyAlignment="1">
      <alignment horizontal="left"/>
    </xf>
    <xf numFmtId="0" fontId="2" fillId="2" borderId="43" xfId="0" applyFont="1" applyFill="1" applyBorder="1" applyAlignment="1">
      <alignment horizontal="left"/>
    </xf>
    <xf numFmtId="0" fontId="2" fillId="2" borderId="63" xfId="0" applyFont="1" applyFill="1" applyBorder="1" applyAlignment="1"/>
    <xf numFmtId="0" fontId="0" fillId="2" borderId="20" xfId="0" applyFont="1" applyFill="1" applyBorder="1" applyAlignment="1">
      <alignment horizontal="left" vertical="center"/>
    </xf>
    <xf numFmtId="0" fontId="0" fillId="2" borderId="111" xfId="0" applyFont="1" applyFill="1" applyBorder="1" applyAlignment="1">
      <alignment horizontal="left" vertical="center"/>
    </xf>
    <xf numFmtId="0" fontId="0" fillId="2" borderId="64" xfId="0" applyFill="1" applyBorder="1" applyAlignment="1">
      <alignment horizontal="center"/>
    </xf>
    <xf numFmtId="0" fontId="0" fillId="2" borderId="65" xfId="0" applyFill="1" applyBorder="1" applyAlignment="1">
      <alignment horizontal="center"/>
    </xf>
    <xf numFmtId="0" fontId="0" fillId="2" borderId="18" xfId="0" applyFont="1" applyFill="1" applyBorder="1" applyAlignment="1"/>
    <xf numFmtId="0" fontId="0" fillId="2" borderId="11" xfId="0" applyFont="1" applyFill="1" applyBorder="1" applyAlignment="1"/>
    <xf numFmtId="0" fontId="0" fillId="2" borderId="13" xfId="0" applyFont="1" applyFill="1" applyBorder="1" applyAlignment="1"/>
    <xf numFmtId="0" fontId="0" fillId="2" borderId="77" xfId="0" applyFill="1" applyBorder="1" applyAlignment="1">
      <alignment horizontal="center"/>
    </xf>
    <xf numFmtId="0" fontId="0" fillId="2" borderId="78" xfId="0" applyFill="1" applyBorder="1" applyAlignment="1">
      <alignment horizontal="center"/>
    </xf>
    <xf numFmtId="0" fontId="0" fillId="2" borderId="58" xfId="0" applyFont="1" applyFill="1" applyBorder="1" applyAlignment="1"/>
    <xf numFmtId="0" fontId="0" fillId="2" borderId="8" xfId="0" applyFont="1" applyFill="1" applyBorder="1" applyAlignment="1"/>
    <xf numFmtId="0" fontId="0" fillId="2" borderId="62" xfId="0" applyFont="1" applyFill="1" applyBorder="1" applyAlignment="1"/>
    <xf numFmtId="0" fontId="0" fillId="2" borderId="18" xfId="0" applyFont="1" applyFill="1" applyBorder="1" applyAlignment="1">
      <alignment horizontal="left"/>
    </xf>
    <xf numFmtId="0" fontId="0" fillId="2" borderId="11" xfId="0" applyFont="1" applyFill="1" applyBorder="1" applyAlignment="1">
      <alignment horizontal="left"/>
    </xf>
    <xf numFmtId="0" fontId="0" fillId="2" borderId="13" xfId="0" applyFont="1" applyFill="1" applyBorder="1" applyAlignment="1">
      <alignment horizontal="left"/>
    </xf>
    <xf numFmtId="0" fontId="0" fillId="2" borderId="64" xfId="0" applyFont="1" applyFill="1" applyBorder="1" applyAlignment="1"/>
    <xf numFmtId="0" fontId="0" fillId="2" borderId="94" xfId="0" applyFont="1" applyFill="1" applyBorder="1" applyAlignment="1"/>
    <xf numFmtId="0" fontId="0" fillId="2" borderId="65" xfId="0" applyFont="1" applyFill="1" applyBorder="1" applyAlignment="1"/>
    <xf numFmtId="0" fontId="0" fillId="2" borderId="59" xfId="0" applyFill="1" applyBorder="1" applyAlignment="1">
      <alignment horizontal="center"/>
    </xf>
    <xf numFmtId="0" fontId="0" fillId="2" borderId="60" xfId="0" applyFill="1" applyBorder="1" applyAlignment="1">
      <alignment horizontal="center"/>
    </xf>
    <xf numFmtId="0" fontId="2" fillId="2" borderId="51" xfId="0" applyFont="1" applyFill="1" applyBorder="1" applyAlignment="1">
      <alignment horizontal="center" vertical="center"/>
    </xf>
    <xf numFmtId="0" fontId="2" fillId="2" borderId="52" xfId="0" applyFont="1" applyFill="1" applyBorder="1" applyAlignment="1">
      <alignment horizontal="center" vertical="center"/>
    </xf>
    <xf numFmtId="0" fontId="2" fillId="2" borderId="53"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39" xfId="0" applyFont="1" applyFill="1" applyBorder="1" applyAlignment="1">
      <alignment horizontal="center" vertical="center"/>
    </xf>
    <xf numFmtId="0" fontId="2" fillId="2" borderId="49"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42" xfId="0" applyFont="1" applyFill="1" applyBorder="1" applyAlignment="1">
      <alignment horizontal="center"/>
    </xf>
    <xf numFmtId="0" fontId="2" fillId="2" borderId="69" xfId="0" applyFont="1" applyFill="1" applyBorder="1" applyAlignment="1">
      <alignment horizontal="center"/>
    </xf>
    <xf numFmtId="0" fontId="2" fillId="2" borderId="19" xfId="0" applyFont="1" applyFill="1" applyBorder="1" applyAlignment="1">
      <alignment horizontal="left"/>
    </xf>
    <xf numFmtId="0" fontId="2" fillId="2" borderId="55" xfId="0" applyFont="1" applyFill="1" applyBorder="1" applyAlignment="1">
      <alignment horizontal="left"/>
    </xf>
    <xf numFmtId="0" fontId="2" fillId="2" borderId="61" xfId="0" applyFont="1" applyFill="1" applyBorder="1" applyAlignment="1">
      <alignment horizontal="left"/>
    </xf>
    <xf numFmtId="49" fontId="50" fillId="2" borderId="96" xfId="0" applyNumberFormat="1" applyFont="1" applyFill="1" applyBorder="1" applyAlignment="1">
      <alignment horizontal="center" vertical="top"/>
    </xf>
    <xf numFmtId="49" fontId="50" fillId="2" borderId="97" xfId="0" applyNumberFormat="1" applyFont="1" applyFill="1" applyBorder="1" applyAlignment="1">
      <alignment horizontal="center" vertical="top"/>
    </xf>
    <xf numFmtId="0" fontId="2" fillId="2" borderId="101" xfId="0" applyFont="1" applyFill="1" applyBorder="1" applyAlignment="1">
      <alignment horizontal="center" vertical="center" wrapText="1"/>
    </xf>
    <xf numFmtId="0" fontId="2" fillId="2" borderId="68" xfId="0" applyFont="1" applyFill="1" applyBorder="1" applyAlignment="1">
      <alignment horizontal="center" vertical="center" wrapText="1"/>
    </xf>
    <xf numFmtId="0" fontId="32" fillId="2" borderId="48" xfId="0" applyFont="1" applyFill="1" applyBorder="1" applyAlignment="1">
      <alignment horizontal="center" vertical="center" wrapText="1"/>
    </xf>
    <xf numFmtId="0" fontId="32" fillId="2" borderId="29" xfId="0" applyFont="1" applyFill="1" applyBorder="1" applyAlignment="1">
      <alignment horizontal="center" vertical="center" wrapText="1"/>
    </xf>
    <xf numFmtId="0" fontId="32" fillId="2" borderId="25" xfId="0" applyFont="1" applyFill="1" applyBorder="1" applyAlignment="1">
      <alignment horizontal="center" vertical="center" wrapText="1"/>
    </xf>
    <xf numFmtId="0" fontId="11" fillId="2" borderId="50" xfId="0" applyFont="1" applyFill="1" applyBorder="1" applyAlignment="1">
      <alignment horizontal="center" vertical="center" wrapText="1"/>
    </xf>
    <xf numFmtId="0" fontId="11" fillId="2" borderId="45" xfId="0" applyFont="1" applyFill="1" applyBorder="1" applyAlignment="1">
      <alignment horizontal="center" vertical="center" wrapText="1"/>
    </xf>
    <xf numFmtId="0" fontId="2" fillId="2" borderId="54" xfId="0" applyFont="1" applyFill="1" applyBorder="1" applyAlignment="1">
      <alignment horizontal="center" vertical="center"/>
    </xf>
    <xf numFmtId="0" fontId="2" fillId="2" borderId="38" xfId="0" applyFont="1" applyFill="1" applyBorder="1" applyAlignment="1">
      <alignment horizontal="center" vertical="center"/>
    </xf>
    <xf numFmtId="0" fontId="6" fillId="2" borderId="51" xfId="0" applyFont="1" applyFill="1" applyBorder="1" applyAlignment="1">
      <alignment horizontal="center" vertical="center" wrapText="1"/>
    </xf>
    <xf numFmtId="0" fontId="6" fillId="2" borderId="52" xfId="0" applyFont="1" applyFill="1" applyBorder="1" applyAlignment="1">
      <alignment horizontal="center" vertical="center" wrapText="1"/>
    </xf>
    <xf numFmtId="0" fontId="6" fillId="2" borderId="53" xfId="0" applyFont="1" applyFill="1" applyBorder="1" applyAlignment="1">
      <alignment horizontal="center" vertical="center" wrapText="1"/>
    </xf>
    <xf numFmtId="0" fontId="6" fillId="2" borderId="21"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6" fillId="2" borderId="39" xfId="0" applyFont="1" applyFill="1" applyBorder="1" applyAlignment="1">
      <alignment horizontal="center" vertical="center" wrapText="1"/>
    </xf>
    <xf numFmtId="0" fontId="6" fillId="2" borderId="49" xfId="0" applyFont="1" applyFill="1" applyBorder="1" applyAlignment="1">
      <alignment horizontal="center" vertical="center" wrapText="1"/>
    </xf>
    <xf numFmtId="0" fontId="6" fillId="2" borderId="31" xfId="0" applyFont="1" applyFill="1" applyBorder="1" applyAlignment="1">
      <alignment horizontal="center" vertical="center" wrapText="1"/>
    </xf>
    <xf numFmtId="0" fontId="6" fillId="2" borderId="26" xfId="0" applyFont="1" applyFill="1" applyBorder="1" applyAlignment="1">
      <alignment horizontal="center" vertical="center" wrapText="1"/>
    </xf>
    <xf numFmtId="167" fontId="2" fillId="2" borderId="51" xfId="0" applyNumberFormat="1" applyFont="1" applyFill="1" applyBorder="1" applyAlignment="1">
      <alignment horizontal="center" vertical="center"/>
    </xf>
    <xf numFmtId="167" fontId="2" fillId="2" borderId="53" xfId="0" applyNumberFormat="1" applyFont="1" applyFill="1" applyBorder="1" applyAlignment="1">
      <alignment horizontal="center" vertical="center"/>
    </xf>
    <xf numFmtId="167" fontId="2" fillId="2" borderId="21" xfId="0" applyNumberFormat="1" applyFont="1" applyFill="1" applyBorder="1" applyAlignment="1">
      <alignment horizontal="center" vertical="center"/>
    </xf>
    <xf numFmtId="167" fontId="2" fillId="2" borderId="39" xfId="0" applyNumberFormat="1" applyFont="1" applyFill="1" applyBorder="1" applyAlignment="1">
      <alignment horizontal="center" vertical="center"/>
    </xf>
    <xf numFmtId="167" fontId="2" fillId="2" borderId="49" xfId="0" applyNumberFormat="1" applyFont="1" applyFill="1" applyBorder="1" applyAlignment="1">
      <alignment horizontal="center" vertical="center"/>
    </xf>
    <xf numFmtId="167" fontId="2" fillId="2" borderId="26" xfId="0" applyNumberFormat="1" applyFont="1" applyFill="1" applyBorder="1" applyAlignment="1">
      <alignment horizontal="center" vertical="center"/>
    </xf>
    <xf numFmtId="49" fontId="33" fillId="2" borderId="70" xfId="0" applyNumberFormat="1" applyFont="1" applyFill="1" applyBorder="1" applyAlignment="1">
      <alignment horizontal="center" vertical="top"/>
    </xf>
    <xf numFmtId="49" fontId="33" fillId="2" borderId="71" xfId="0" applyNumberFormat="1" applyFont="1" applyFill="1" applyBorder="1" applyAlignment="1">
      <alignment horizontal="center" vertical="top"/>
    </xf>
    <xf numFmtId="0" fontId="2" fillId="2" borderId="56" xfId="0" applyFont="1" applyFill="1" applyBorder="1" applyAlignment="1">
      <alignment horizontal="center" vertical="center"/>
    </xf>
    <xf numFmtId="0" fontId="2" fillId="2" borderId="44" xfId="0" applyFont="1" applyFill="1" applyBorder="1" applyAlignment="1">
      <alignment horizontal="center" vertical="center"/>
    </xf>
  </cellXfs>
  <cellStyles count="3">
    <cellStyle name="Currency" xfId="2" builtinId="4"/>
    <cellStyle name="Hyperlink" xfId="1" builtinId="8"/>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9966"/>
      <color rgb="FF006600"/>
      <color rgb="FF008000"/>
      <color rgb="FF33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0</xdr:row>
      <xdr:rowOff>142875</xdr:rowOff>
    </xdr:from>
    <xdr:to>
      <xdr:col>2</xdr:col>
      <xdr:colOff>409575</xdr:colOff>
      <xdr:row>4</xdr:row>
      <xdr:rowOff>180975</xdr:rowOff>
    </xdr:to>
    <xdr:pic>
      <xdr:nvPicPr>
        <xdr:cNvPr id="7338" name="Picture 14" descr="Logo_Portrait">
          <a:extLst>
            <a:ext uri="{FF2B5EF4-FFF2-40B4-BE49-F238E27FC236}">
              <a16:creationId xmlns="" xmlns:a16="http://schemas.microsoft.com/office/drawing/2014/main" id="{00000000-0008-0000-0000-0000AA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14300" y="142875"/>
          <a:ext cx="1047750" cy="800100"/>
        </a:xfrm>
        <a:prstGeom prst="rect">
          <a:avLst/>
        </a:prstGeom>
        <a:noFill/>
        <a:ln w="9525">
          <a:noFill/>
          <a:miter lim="800000"/>
          <a:headEnd/>
          <a:tailEnd/>
        </a:ln>
      </xdr:spPr>
    </xdr:pic>
    <xdr:clientData/>
  </xdr:twoCellAnchor>
  <xdr:oneCellAnchor>
    <xdr:from>
      <xdr:col>2</xdr:col>
      <xdr:colOff>409575</xdr:colOff>
      <xdr:row>0</xdr:row>
      <xdr:rowOff>95251</xdr:rowOff>
    </xdr:from>
    <xdr:ext cx="1076325" cy="866774"/>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1162050" y="95251"/>
          <a:ext cx="1076325" cy="8667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lvl="0" algn="l"/>
          <a:r>
            <a:rPr lang="en-US" sz="800" b="0" i="0" u="none" strike="noStrike">
              <a:solidFill>
                <a:schemeClr val="tx1"/>
              </a:solidFill>
              <a:effectLst/>
              <a:latin typeface="+mn-lt"/>
              <a:ea typeface="+mn-ea"/>
              <a:cs typeface="+mn-cs"/>
            </a:rPr>
            <a:t>Engineering Partner</a:t>
          </a:r>
        </a:p>
        <a:p>
          <a:pPr lvl="0" algn="l"/>
          <a:r>
            <a:rPr lang="en-US" sz="800"/>
            <a:t>Hvitfeldtsplatsen 4</a:t>
          </a:r>
        </a:p>
        <a:p>
          <a:pPr lvl="0" algn="l"/>
          <a:r>
            <a:rPr lang="en-US" sz="800"/>
            <a:t>411 20 GÖTEBORG</a:t>
          </a:r>
        </a:p>
        <a:p>
          <a:pPr lvl="0" algn="l"/>
          <a:r>
            <a:rPr lang="en-US" sz="800"/>
            <a:t>Tel: 031- 339 36 60</a:t>
          </a:r>
        </a:p>
      </xdr:txBody>
    </xdr:sp>
    <xdr:clientData/>
  </xdr:oneCellAnchor>
  <mc:AlternateContent xmlns:mc="http://schemas.openxmlformats.org/markup-compatibility/2006">
    <mc:Choice xmlns:a14="http://schemas.microsoft.com/office/drawing/2010/main" Requires="a14">
      <xdr:twoCellAnchor>
        <xdr:from>
          <xdr:col>14</xdr:col>
          <xdr:colOff>83820</xdr:colOff>
          <xdr:row>0</xdr:row>
          <xdr:rowOff>83820</xdr:rowOff>
        </xdr:from>
        <xdr:to>
          <xdr:col>14</xdr:col>
          <xdr:colOff>502920</xdr:colOff>
          <xdr:row>7</xdr:row>
          <xdr:rowOff>266700</xdr:rowOff>
        </xdr:to>
        <xdr:sp macro="" textlink="">
          <xdr:nvSpPr>
            <xdr:cNvPr id="7322" name="Button 154" hidden="1">
              <a:extLst>
                <a:ext uri="{63B3BB69-23CF-44E3-9099-C40C66FF867C}">
                  <a14:compatExt spid="_x0000_s7322"/>
                </a:ext>
                <a:ext uri="{FF2B5EF4-FFF2-40B4-BE49-F238E27FC236}">
                  <a16:creationId xmlns="" xmlns:a16="http://schemas.microsoft.com/office/drawing/2014/main" id="{00000000-0008-0000-0000-00009A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Auto-</a:t>
              </a:r>
            </a:p>
            <a:p>
              <a:pPr algn="ctr" rtl="0">
                <a:defRPr sz="1000"/>
              </a:pPr>
              <a:r>
                <a:rPr lang="en-GB" sz="1100" b="0" i="0" u="none" strike="noStrike" baseline="0">
                  <a:solidFill>
                    <a:srgbClr val="000000"/>
                  </a:solidFill>
                  <a:latin typeface="Calibri"/>
                </a:rPr>
                <a:t>Fyll</a:t>
              </a:r>
            </a:p>
          </xdr:txBody>
        </xdr:sp>
        <xdr:clientData fPrintsWithSheet="0"/>
      </xdr:twoCellAnchor>
    </mc:Choice>
    <mc:Fallback/>
  </mc:AlternateContent>
  <xdr:twoCellAnchor>
    <xdr:from>
      <xdr:col>5</xdr:col>
      <xdr:colOff>190500</xdr:colOff>
      <xdr:row>44</xdr:row>
      <xdr:rowOff>28575</xdr:rowOff>
    </xdr:from>
    <xdr:to>
      <xdr:col>5</xdr:col>
      <xdr:colOff>352425</xdr:colOff>
      <xdr:row>45</xdr:row>
      <xdr:rowOff>95250</xdr:rowOff>
    </xdr:to>
    <xdr:sp macro="" textlink="">
      <xdr:nvSpPr>
        <xdr:cNvPr id="3" name="Down Arrow 2">
          <a:extLst>
            <a:ext uri="{FF2B5EF4-FFF2-40B4-BE49-F238E27FC236}">
              <a16:creationId xmlns="" xmlns:a16="http://schemas.microsoft.com/office/drawing/2014/main" id="{00000000-0008-0000-0000-000003000000}"/>
            </a:ext>
          </a:extLst>
        </xdr:cNvPr>
        <xdr:cNvSpPr/>
      </xdr:nvSpPr>
      <xdr:spPr>
        <a:xfrm>
          <a:off x="2400300" y="8991600"/>
          <a:ext cx="161925" cy="266700"/>
        </a:xfrm>
        <a:prstGeom prst="downArrow">
          <a:avLst/>
        </a:prstGeom>
        <a:solidFill>
          <a:sysClr val="window" lastClr="FFFFFF"/>
        </a:solidFill>
        <a:ln>
          <a:solidFill>
            <a:srgbClr val="006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47625</xdr:colOff>
      <xdr:row>0</xdr:row>
      <xdr:rowOff>180975</xdr:rowOff>
    </xdr:from>
    <xdr:to>
      <xdr:col>3</xdr:col>
      <xdr:colOff>200025</xdr:colOff>
      <xdr:row>0</xdr:row>
      <xdr:rowOff>419100</xdr:rowOff>
    </xdr:to>
    <xdr:sp macro="" textlink="">
      <xdr:nvSpPr>
        <xdr:cNvPr id="2" name="Text Box 5">
          <a:extLst>
            <a:ext uri="{FF2B5EF4-FFF2-40B4-BE49-F238E27FC236}">
              <a16:creationId xmlns="" xmlns:a16="http://schemas.microsoft.com/office/drawing/2014/main" id="{00000000-0008-0000-0100-000002000000}"/>
            </a:ext>
          </a:extLst>
        </xdr:cNvPr>
        <xdr:cNvSpPr txBox="1">
          <a:spLocks noChangeArrowheads="1"/>
        </xdr:cNvSpPr>
      </xdr:nvSpPr>
      <xdr:spPr bwMode="auto">
        <a:xfrm>
          <a:off x="1514475" y="180975"/>
          <a:ext cx="152400" cy="9525"/>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3" name="Text Box 6">
          <a:extLst>
            <a:ext uri="{FF2B5EF4-FFF2-40B4-BE49-F238E27FC236}">
              <a16:creationId xmlns="" xmlns:a16="http://schemas.microsoft.com/office/drawing/2014/main" id="{00000000-0008-0000-0100-000003000000}"/>
            </a:ext>
          </a:extLst>
        </xdr:cNvPr>
        <xdr:cNvSpPr txBox="1">
          <a:spLocks noChangeArrowheads="1"/>
        </xdr:cNvSpPr>
      </xdr:nvSpPr>
      <xdr:spPr bwMode="auto">
        <a:xfrm>
          <a:off x="4229100" y="190500"/>
          <a:ext cx="542925" cy="0"/>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4" name="Text Box 7">
          <a:extLst>
            <a:ext uri="{FF2B5EF4-FFF2-40B4-BE49-F238E27FC236}">
              <a16:creationId xmlns="" xmlns:a16="http://schemas.microsoft.com/office/drawing/2014/main" id="{00000000-0008-0000-0100-000004000000}"/>
            </a:ext>
          </a:extLst>
        </xdr:cNvPr>
        <xdr:cNvSpPr txBox="1">
          <a:spLocks noChangeArrowheads="1"/>
        </xdr:cNvSpPr>
      </xdr:nvSpPr>
      <xdr:spPr bwMode="auto">
        <a:xfrm>
          <a:off x="4229100" y="190500"/>
          <a:ext cx="542925" cy="0"/>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5" name="Text Box 8">
          <a:extLst>
            <a:ext uri="{FF2B5EF4-FFF2-40B4-BE49-F238E27FC236}">
              <a16:creationId xmlns="" xmlns:a16="http://schemas.microsoft.com/office/drawing/2014/main" id="{00000000-0008-0000-0100-000005000000}"/>
            </a:ext>
          </a:extLst>
        </xdr:cNvPr>
        <xdr:cNvSpPr txBox="1">
          <a:spLocks noChangeArrowheads="1"/>
        </xdr:cNvSpPr>
      </xdr:nvSpPr>
      <xdr:spPr bwMode="auto">
        <a:xfrm>
          <a:off x="4229100" y="190500"/>
          <a:ext cx="542925" cy="0"/>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6" name="Text Box 9">
          <a:extLst>
            <a:ext uri="{FF2B5EF4-FFF2-40B4-BE49-F238E27FC236}">
              <a16:creationId xmlns="" xmlns:a16="http://schemas.microsoft.com/office/drawing/2014/main" id="{00000000-0008-0000-0100-000006000000}"/>
            </a:ext>
          </a:extLst>
        </xdr:cNvPr>
        <xdr:cNvSpPr txBox="1">
          <a:spLocks noChangeArrowheads="1"/>
        </xdr:cNvSpPr>
      </xdr:nvSpPr>
      <xdr:spPr bwMode="auto">
        <a:xfrm>
          <a:off x="4229100" y="190500"/>
          <a:ext cx="542925" cy="0"/>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7" name="Text Box 10">
          <a:extLst>
            <a:ext uri="{FF2B5EF4-FFF2-40B4-BE49-F238E27FC236}">
              <a16:creationId xmlns="" xmlns:a16="http://schemas.microsoft.com/office/drawing/2014/main" id="{00000000-0008-0000-0100-000007000000}"/>
            </a:ext>
          </a:extLst>
        </xdr:cNvPr>
        <xdr:cNvSpPr txBox="1">
          <a:spLocks noChangeArrowheads="1"/>
        </xdr:cNvSpPr>
      </xdr:nvSpPr>
      <xdr:spPr bwMode="auto">
        <a:xfrm>
          <a:off x="4229100" y="190500"/>
          <a:ext cx="542925" cy="0"/>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8" name="Text Box 11">
          <a:extLst>
            <a:ext uri="{FF2B5EF4-FFF2-40B4-BE49-F238E27FC236}">
              <a16:creationId xmlns="" xmlns:a16="http://schemas.microsoft.com/office/drawing/2014/main" id="{00000000-0008-0000-0100-000008000000}"/>
            </a:ext>
          </a:extLst>
        </xdr:cNvPr>
        <xdr:cNvSpPr txBox="1">
          <a:spLocks noChangeArrowheads="1"/>
        </xdr:cNvSpPr>
      </xdr:nvSpPr>
      <xdr:spPr bwMode="auto">
        <a:xfrm>
          <a:off x="4229100" y="190500"/>
          <a:ext cx="542925" cy="0"/>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9" name="Text Box 12">
          <a:extLst>
            <a:ext uri="{FF2B5EF4-FFF2-40B4-BE49-F238E27FC236}">
              <a16:creationId xmlns="" xmlns:a16="http://schemas.microsoft.com/office/drawing/2014/main" id="{00000000-0008-0000-0100-000009000000}"/>
            </a:ext>
          </a:extLst>
        </xdr:cNvPr>
        <xdr:cNvSpPr txBox="1">
          <a:spLocks noChangeArrowheads="1"/>
        </xdr:cNvSpPr>
      </xdr:nvSpPr>
      <xdr:spPr bwMode="auto">
        <a:xfrm>
          <a:off x="4229100" y="190500"/>
          <a:ext cx="542925" cy="0"/>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10" name="Text Box 13">
          <a:extLst>
            <a:ext uri="{FF2B5EF4-FFF2-40B4-BE49-F238E27FC236}">
              <a16:creationId xmlns="" xmlns:a16="http://schemas.microsoft.com/office/drawing/2014/main" id="{00000000-0008-0000-0100-00000A000000}"/>
            </a:ext>
          </a:extLst>
        </xdr:cNvPr>
        <xdr:cNvSpPr txBox="1">
          <a:spLocks noChangeArrowheads="1"/>
        </xdr:cNvSpPr>
      </xdr:nvSpPr>
      <xdr:spPr bwMode="auto">
        <a:xfrm>
          <a:off x="4229100" y="190500"/>
          <a:ext cx="542925" cy="0"/>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11" name="Text Box 14">
          <a:extLst>
            <a:ext uri="{FF2B5EF4-FFF2-40B4-BE49-F238E27FC236}">
              <a16:creationId xmlns="" xmlns:a16="http://schemas.microsoft.com/office/drawing/2014/main" id="{00000000-0008-0000-0100-00000B000000}"/>
            </a:ext>
          </a:extLst>
        </xdr:cNvPr>
        <xdr:cNvSpPr txBox="1">
          <a:spLocks noChangeArrowheads="1"/>
        </xdr:cNvSpPr>
      </xdr:nvSpPr>
      <xdr:spPr bwMode="auto">
        <a:xfrm>
          <a:off x="4229100" y="190500"/>
          <a:ext cx="542925" cy="0"/>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12" name="Text Box 15">
          <a:extLst>
            <a:ext uri="{FF2B5EF4-FFF2-40B4-BE49-F238E27FC236}">
              <a16:creationId xmlns="" xmlns:a16="http://schemas.microsoft.com/office/drawing/2014/main" id="{00000000-0008-0000-0100-00000C000000}"/>
            </a:ext>
          </a:extLst>
        </xdr:cNvPr>
        <xdr:cNvSpPr txBox="1">
          <a:spLocks noChangeArrowheads="1"/>
        </xdr:cNvSpPr>
      </xdr:nvSpPr>
      <xdr:spPr bwMode="auto">
        <a:xfrm>
          <a:off x="4229100" y="190500"/>
          <a:ext cx="542925" cy="0"/>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13" name="Text Box 16">
          <a:extLst>
            <a:ext uri="{FF2B5EF4-FFF2-40B4-BE49-F238E27FC236}">
              <a16:creationId xmlns="" xmlns:a16="http://schemas.microsoft.com/office/drawing/2014/main" id="{00000000-0008-0000-0100-00000D000000}"/>
            </a:ext>
          </a:extLst>
        </xdr:cNvPr>
        <xdr:cNvSpPr txBox="1">
          <a:spLocks noChangeArrowheads="1"/>
        </xdr:cNvSpPr>
      </xdr:nvSpPr>
      <xdr:spPr bwMode="auto">
        <a:xfrm>
          <a:off x="4229100" y="190500"/>
          <a:ext cx="542925" cy="0"/>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14" name="Text Box 17">
          <a:extLst>
            <a:ext uri="{FF2B5EF4-FFF2-40B4-BE49-F238E27FC236}">
              <a16:creationId xmlns="" xmlns:a16="http://schemas.microsoft.com/office/drawing/2014/main" id="{00000000-0008-0000-0100-00000E000000}"/>
            </a:ext>
          </a:extLst>
        </xdr:cNvPr>
        <xdr:cNvSpPr txBox="1">
          <a:spLocks noChangeArrowheads="1"/>
        </xdr:cNvSpPr>
      </xdr:nvSpPr>
      <xdr:spPr bwMode="auto">
        <a:xfrm>
          <a:off x="4229100" y="190500"/>
          <a:ext cx="542925" cy="0"/>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15" name="Text Box 18">
          <a:extLst>
            <a:ext uri="{FF2B5EF4-FFF2-40B4-BE49-F238E27FC236}">
              <a16:creationId xmlns="" xmlns:a16="http://schemas.microsoft.com/office/drawing/2014/main" id="{00000000-0008-0000-0100-00000F000000}"/>
            </a:ext>
          </a:extLst>
        </xdr:cNvPr>
        <xdr:cNvSpPr txBox="1">
          <a:spLocks noChangeArrowheads="1"/>
        </xdr:cNvSpPr>
      </xdr:nvSpPr>
      <xdr:spPr bwMode="auto">
        <a:xfrm>
          <a:off x="4229100" y="190500"/>
          <a:ext cx="542925" cy="0"/>
        </a:xfrm>
        <a:prstGeom prst="rect">
          <a:avLst/>
        </a:prstGeom>
        <a:solidFill>
          <a:srgbClr val="FFFFFF"/>
        </a:solidFill>
        <a:ln w="9525">
          <a:noFill/>
          <a:round/>
          <a:headEnd/>
          <a:tailEnd/>
        </a:ln>
      </xdr:spPr>
    </xdr:sp>
    <xdr:clientData/>
  </xdr:twoCellAnchor>
  <xdr:twoCellAnchor>
    <xdr:from>
      <xdr:col>9</xdr:col>
      <xdr:colOff>28575</xdr:colOff>
      <xdr:row>0</xdr:row>
      <xdr:rowOff>190500</xdr:rowOff>
    </xdr:from>
    <xdr:to>
      <xdr:col>9</xdr:col>
      <xdr:colOff>571500</xdr:colOff>
      <xdr:row>0</xdr:row>
      <xdr:rowOff>457200</xdr:rowOff>
    </xdr:to>
    <xdr:sp macro="" textlink="">
      <xdr:nvSpPr>
        <xdr:cNvPr id="16" name="Text Box 19">
          <a:extLst>
            <a:ext uri="{FF2B5EF4-FFF2-40B4-BE49-F238E27FC236}">
              <a16:creationId xmlns="" xmlns:a16="http://schemas.microsoft.com/office/drawing/2014/main" id="{00000000-0008-0000-0100-000010000000}"/>
            </a:ext>
          </a:extLst>
        </xdr:cNvPr>
        <xdr:cNvSpPr txBox="1">
          <a:spLocks noChangeArrowheads="1"/>
        </xdr:cNvSpPr>
      </xdr:nvSpPr>
      <xdr:spPr bwMode="auto">
        <a:xfrm>
          <a:off x="4229100" y="190500"/>
          <a:ext cx="542925" cy="0"/>
        </a:xfrm>
        <a:prstGeom prst="rect">
          <a:avLst/>
        </a:prstGeom>
        <a:noFill/>
        <a:ln w="9525">
          <a:noFill/>
          <a:round/>
          <a:headEnd/>
          <a:tailEnd/>
        </a:ln>
      </xdr:spPr>
    </xdr:sp>
    <xdr:clientData/>
  </xdr:twoCellAnchor>
  <xdr:twoCellAnchor>
    <xdr:from>
      <xdr:col>13</xdr:col>
      <xdr:colOff>104775</xdr:colOff>
      <xdr:row>0</xdr:row>
      <xdr:rowOff>390525</xdr:rowOff>
    </xdr:from>
    <xdr:to>
      <xdr:col>14</xdr:col>
      <xdr:colOff>38100</xdr:colOff>
      <xdr:row>0</xdr:row>
      <xdr:rowOff>657225</xdr:rowOff>
    </xdr:to>
    <xdr:sp macro="" textlink="">
      <xdr:nvSpPr>
        <xdr:cNvPr id="17" name="Text Box 20">
          <a:extLst>
            <a:ext uri="{FF2B5EF4-FFF2-40B4-BE49-F238E27FC236}">
              <a16:creationId xmlns="" xmlns:a16="http://schemas.microsoft.com/office/drawing/2014/main" id="{00000000-0008-0000-0100-000011000000}"/>
            </a:ext>
          </a:extLst>
        </xdr:cNvPr>
        <xdr:cNvSpPr txBox="1">
          <a:spLocks noChangeArrowheads="1"/>
        </xdr:cNvSpPr>
      </xdr:nvSpPr>
      <xdr:spPr bwMode="auto">
        <a:xfrm>
          <a:off x="6600825" y="190500"/>
          <a:ext cx="542925" cy="0"/>
        </a:xfrm>
        <a:prstGeom prst="rect">
          <a:avLst/>
        </a:prstGeom>
        <a:solidFill>
          <a:srgbClr val="FFFFFF"/>
        </a:solidFill>
        <a:ln w="9525">
          <a:noFill/>
          <a:round/>
          <a:headEnd/>
          <a:tailEnd/>
        </a:ln>
      </xdr:spPr>
    </xdr:sp>
    <xdr:clientData/>
  </xdr:twoCellAnchor>
  <xdr:twoCellAnchor>
    <xdr:from>
      <xdr:col>9</xdr:col>
      <xdr:colOff>457200</xdr:colOff>
      <xdr:row>42</xdr:row>
      <xdr:rowOff>85725</xdr:rowOff>
    </xdr:from>
    <xdr:to>
      <xdr:col>9</xdr:col>
      <xdr:colOff>676275</xdr:colOff>
      <xdr:row>42</xdr:row>
      <xdr:rowOff>209550</xdr:rowOff>
    </xdr:to>
    <xdr:sp macro="" textlink="">
      <xdr:nvSpPr>
        <xdr:cNvPr id="18" name="Freeform 21">
          <a:extLst>
            <a:ext uri="{FF2B5EF4-FFF2-40B4-BE49-F238E27FC236}">
              <a16:creationId xmlns="" xmlns:a16="http://schemas.microsoft.com/office/drawing/2014/main" id="{00000000-0008-0000-0100-000012000000}"/>
            </a:ext>
          </a:extLst>
        </xdr:cNvPr>
        <xdr:cNvSpPr>
          <a:spLocks noChangeArrowheads="1"/>
        </xdr:cNvSpPr>
      </xdr:nvSpPr>
      <xdr:spPr bwMode="auto">
        <a:xfrm>
          <a:off x="4657725" y="9220200"/>
          <a:ext cx="219075" cy="123825"/>
        </a:xfrm>
        <a:custGeom>
          <a:avLst/>
          <a:gdLst>
            <a:gd name="T0" fmla="*/ 2147483647 w 16384"/>
            <a:gd name="T1" fmla="*/ 0 h 16384"/>
            <a:gd name="T2" fmla="*/ 2147483647 w 16384"/>
            <a:gd name="T3" fmla="*/ 2147483647 h 16384"/>
            <a:gd name="T4" fmla="*/ 0 w 16384"/>
            <a:gd name="T5" fmla="*/ 2147483647 h 16384"/>
            <a:gd name="T6" fmla="*/ 0 w 16384"/>
            <a:gd name="T7" fmla="*/ 2147483647 h 16384"/>
            <a:gd name="T8" fmla="*/ 2147483647 w 16384"/>
            <a:gd name="T9" fmla="*/ 2147483647 h 16384"/>
            <a:gd name="T10" fmla="*/ 2147483647 w 16384"/>
            <a:gd name="T11" fmla="*/ 2147483647 h 16384"/>
            <a:gd name="T12" fmla="*/ 2147483647 w 16384"/>
            <a:gd name="T13" fmla="*/ 2147483647 h 16384"/>
            <a:gd name="T14" fmla="*/ 2147483647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12288" y="0"/>
              </a:moveTo>
              <a:lnTo>
                <a:pt x="12288" y="4096"/>
              </a:lnTo>
              <a:lnTo>
                <a:pt x="0" y="4096"/>
              </a:lnTo>
              <a:lnTo>
                <a:pt x="0" y="12288"/>
              </a:lnTo>
              <a:lnTo>
                <a:pt x="12288" y="12288"/>
              </a:lnTo>
              <a:lnTo>
                <a:pt x="12288" y="16384"/>
              </a:lnTo>
              <a:lnTo>
                <a:pt x="16384" y="8192"/>
              </a:lnTo>
              <a:lnTo>
                <a:pt x="12288" y="0"/>
              </a:lnTo>
              <a:close/>
            </a:path>
          </a:pathLst>
        </a:custGeom>
        <a:solidFill>
          <a:srgbClr val="C0C0C0"/>
        </a:solidFill>
        <a:ln w="9360">
          <a:solidFill>
            <a:srgbClr val="000000"/>
          </a:solidFill>
          <a:round/>
          <a:headEnd/>
          <a:tailEnd/>
        </a:ln>
      </xdr:spPr>
    </xdr:sp>
    <xdr:clientData/>
  </xdr:twoCellAnchor>
  <xdr:twoCellAnchor>
    <xdr:from>
      <xdr:col>3</xdr:col>
      <xdr:colOff>38100</xdr:colOff>
      <xdr:row>42</xdr:row>
      <xdr:rowOff>66675</xdr:rowOff>
    </xdr:from>
    <xdr:to>
      <xdr:col>3</xdr:col>
      <xdr:colOff>314325</xdr:colOff>
      <xdr:row>42</xdr:row>
      <xdr:rowOff>209550</xdr:rowOff>
    </xdr:to>
    <xdr:sp macro="" textlink="">
      <xdr:nvSpPr>
        <xdr:cNvPr id="19" name="Freeform 22">
          <a:extLst>
            <a:ext uri="{FF2B5EF4-FFF2-40B4-BE49-F238E27FC236}">
              <a16:creationId xmlns="" xmlns:a16="http://schemas.microsoft.com/office/drawing/2014/main" id="{00000000-0008-0000-0100-000013000000}"/>
            </a:ext>
          </a:extLst>
        </xdr:cNvPr>
        <xdr:cNvSpPr>
          <a:spLocks noChangeArrowheads="1"/>
        </xdr:cNvSpPr>
      </xdr:nvSpPr>
      <xdr:spPr bwMode="auto">
        <a:xfrm>
          <a:off x="1504950" y="9201150"/>
          <a:ext cx="276225" cy="142875"/>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w 16384"/>
            <a:gd name="T13" fmla="*/ 2147483647 h 16384"/>
            <a:gd name="T14" fmla="*/ 2147483647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4096" y="0"/>
              </a:moveTo>
              <a:lnTo>
                <a:pt x="4096" y="4096"/>
              </a:lnTo>
              <a:lnTo>
                <a:pt x="16384" y="4096"/>
              </a:lnTo>
              <a:lnTo>
                <a:pt x="16384" y="12288"/>
              </a:lnTo>
              <a:lnTo>
                <a:pt x="4096" y="12288"/>
              </a:lnTo>
              <a:lnTo>
                <a:pt x="4096" y="16384"/>
              </a:lnTo>
              <a:lnTo>
                <a:pt x="0" y="8192"/>
              </a:lnTo>
              <a:lnTo>
                <a:pt x="4096" y="0"/>
              </a:lnTo>
              <a:close/>
            </a:path>
          </a:pathLst>
        </a:custGeom>
        <a:solidFill>
          <a:srgbClr val="C0C0C0"/>
        </a:solidFill>
        <a:ln w="9360">
          <a:solidFill>
            <a:srgbClr val="000000"/>
          </a:solidFill>
          <a:round/>
          <a:headEnd/>
          <a:tailEnd/>
        </a:ln>
      </xdr:spPr>
    </xdr:sp>
    <xdr:clientData/>
  </xdr:twoCellAnchor>
  <xdr:twoCellAnchor editAs="oneCell">
    <xdr:from>
      <xdr:col>0</xdr:col>
      <xdr:colOff>171450</xdr:colOff>
      <xdr:row>0</xdr:row>
      <xdr:rowOff>95250</xdr:rowOff>
    </xdr:from>
    <xdr:to>
      <xdr:col>2</xdr:col>
      <xdr:colOff>257175</xdr:colOff>
      <xdr:row>4</xdr:row>
      <xdr:rowOff>114300</xdr:rowOff>
    </xdr:to>
    <xdr:pic>
      <xdr:nvPicPr>
        <xdr:cNvPr id="20" name="Picture 29" descr="Logo_Portrait">
          <a:extLst>
            <a:ext uri="{FF2B5EF4-FFF2-40B4-BE49-F238E27FC236}">
              <a16:creationId xmlns=""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71450" y="95250"/>
          <a:ext cx="1123950" cy="781050"/>
        </a:xfrm>
        <a:prstGeom prst="rect">
          <a:avLst/>
        </a:prstGeom>
        <a:noFill/>
        <a:ln w="9525">
          <a:noFill/>
          <a:miter lim="800000"/>
          <a:headEnd/>
          <a:tailEnd/>
        </a:ln>
      </xdr:spPr>
    </xdr:pic>
    <xdr:clientData/>
  </xdr:twoCellAnchor>
  <xdr:twoCellAnchor>
    <xdr:from>
      <xdr:col>2</xdr:col>
      <xdr:colOff>390525</xdr:colOff>
      <xdr:row>0</xdr:row>
      <xdr:rowOff>85725</xdr:rowOff>
    </xdr:from>
    <xdr:to>
      <xdr:col>7</xdr:col>
      <xdr:colOff>28575</xdr:colOff>
      <xdr:row>4</xdr:row>
      <xdr:rowOff>114300</xdr:rowOff>
    </xdr:to>
    <xdr:sp macro="" textlink="">
      <xdr:nvSpPr>
        <xdr:cNvPr id="21" name="TextBox 28">
          <a:extLst>
            <a:ext uri="{FF2B5EF4-FFF2-40B4-BE49-F238E27FC236}">
              <a16:creationId xmlns="" xmlns:a16="http://schemas.microsoft.com/office/drawing/2014/main" id="{00000000-0008-0000-0100-000015000000}"/>
            </a:ext>
          </a:extLst>
        </xdr:cNvPr>
        <xdr:cNvSpPr txBox="1"/>
      </xdr:nvSpPr>
      <xdr:spPr>
        <a:xfrm>
          <a:off x="1428750" y="85725"/>
          <a:ext cx="2190750" cy="790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200">
              <a:latin typeface="Arial" panose="020B0604020202020204" pitchFamily="34" charset="0"/>
              <a:cs typeface="Arial" panose="020B0604020202020204" pitchFamily="34" charset="0"/>
            </a:rPr>
            <a:t>INTERN</a:t>
          </a:r>
        </a:p>
        <a:p>
          <a:pPr algn="ctr"/>
          <a:r>
            <a:rPr lang="en-US" sz="2200">
              <a:latin typeface="Arial" panose="020B0604020202020204" pitchFamily="34" charset="0"/>
              <a:cs typeface="Arial" panose="020B0604020202020204" pitchFamily="34" charset="0"/>
            </a:rPr>
            <a:t>MILBLANKETT</a:t>
          </a:r>
        </a:p>
      </xdr:txBody>
    </xdr:sp>
    <xdr:clientData/>
  </xdr:twoCellAnchor>
  <xdr:twoCellAnchor>
    <xdr:from>
      <xdr:col>0</xdr:col>
      <xdr:colOff>57150</xdr:colOff>
      <xdr:row>5</xdr:row>
      <xdr:rowOff>133350</xdr:rowOff>
    </xdr:from>
    <xdr:to>
      <xdr:col>2</xdr:col>
      <xdr:colOff>403019</xdr:colOff>
      <xdr:row>8</xdr:row>
      <xdr:rowOff>161925</xdr:rowOff>
    </xdr:to>
    <xdr:sp macro="" textlink="" fLocksText="0">
      <xdr:nvSpPr>
        <xdr:cNvPr id="22" name="Text Box 27">
          <a:extLst>
            <a:ext uri="{FF2B5EF4-FFF2-40B4-BE49-F238E27FC236}">
              <a16:creationId xmlns="" xmlns:a16="http://schemas.microsoft.com/office/drawing/2014/main" id="{00000000-0008-0000-0100-000016000000}"/>
            </a:ext>
          </a:extLst>
        </xdr:cNvPr>
        <xdr:cNvSpPr txBox="1">
          <a:spLocks noChangeArrowheads="1"/>
        </xdr:cNvSpPr>
      </xdr:nvSpPr>
      <xdr:spPr bwMode="auto">
        <a:xfrm>
          <a:off x="57150" y="1085850"/>
          <a:ext cx="1384094" cy="600075"/>
        </a:xfrm>
        <a:prstGeom prst="rect">
          <a:avLst/>
        </a:prstGeom>
        <a:noFill/>
        <a:ln w="9360">
          <a:noFill/>
          <a:miter lim="800000"/>
          <a:headEnd/>
          <a:tailEnd/>
        </a:ln>
        <a:effectLst/>
      </xdr:spPr>
      <xdr:txBody>
        <a:bodyPr vertOverflow="clip" wrap="square" lIns="20160" tIns="20160" rIns="20160" bIns="20160" anchor="t" upright="1"/>
        <a:lstStyle/>
        <a:p>
          <a:pPr algn="l" rtl="0">
            <a:defRPr sz="1000"/>
          </a:pPr>
          <a:r>
            <a:rPr lang="en-US" sz="1200" b="0" i="0" strike="noStrike">
              <a:solidFill>
                <a:srgbClr val="000000"/>
              </a:solidFill>
              <a:latin typeface="Gill Sans MT"/>
              <a:ea typeface="Gill Sans MT"/>
              <a:cs typeface="Gill Sans MT"/>
            </a:rPr>
            <a:t>Engineering Partner</a:t>
          </a:r>
        </a:p>
        <a:p>
          <a:pPr algn="l" rtl="0">
            <a:defRPr sz="1000"/>
          </a:pPr>
          <a:r>
            <a:rPr lang="en-US" sz="1200" b="0" i="0" strike="noStrike">
              <a:solidFill>
                <a:srgbClr val="000000"/>
              </a:solidFill>
              <a:latin typeface="Gill Sans MT"/>
              <a:ea typeface="Gill Sans MT"/>
              <a:cs typeface="Gill Sans MT"/>
            </a:rPr>
            <a:t>Hvitfeldtsplatsen 4</a:t>
          </a:r>
        </a:p>
        <a:p>
          <a:pPr algn="l" rtl="0">
            <a:defRPr sz="1000"/>
          </a:pPr>
          <a:r>
            <a:rPr lang="en-US" sz="1200" b="0" i="0" strike="noStrike">
              <a:solidFill>
                <a:srgbClr val="000000"/>
              </a:solidFill>
              <a:latin typeface="Gill Sans MT"/>
              <a:ea typeface="Gill Sans MT"/>
              <a:cs typeface="Gill Sans MT"/>
            </a:rPr>
            <a:t>411 20 GÖTEBORG</a:t>
          </a:r>
        </a:p>
      </xdr:txBody>
    </xdr:sp>
    <xdr:clientData/>
  </xdr:twoCellAnchor>
  <xdr:twoCellAnchor>
    <xdr:from>
      <xdr:col>10</xdr:col>
      <xdr:colOff>85725</xdr:colOff>
      <xdr:row>9</xdr:row>
      <xdr:rowOff>180975</xdr:rowOff>
    </xdr:from>
    <xdr:to>
      <xdr:col>11</xdr:col>
      <xdr:colOff>57150</xdr:colOff>
      <xdr:row>9</xdr:row>
      <xdr:rowOff>276225</xdr:rowOff>
    </xdr:to>
    <xdr:sp macro="" textlink="">
      <xdr:nvSpPr>
        <xdr:cNvPr id="23" name="Left Arrow 22">
          <a:extLst>
            <a:ext uri="{FF2B5EF4-FFF2-40B4-BE49-F238E27FC236}">
              <a16:creationId xmlns="" xmlns:a16="http://schemas.microsoft.com/office/drawing/2014/main" id="{00000000-0008-0000-0100-000017000000}"/>
            </a:ext>
          </a:extLst>
        </xdr:cNvPr>
        <xdr:cNvSpPr/>
      </xdr:nvSpPr>
      <xdr:spPr>
        <a:xfrm>
          <a:off x="5543550" y="2019300"/>
          <a:ext cx="200025" cy="95250"/>
        </a:xfrm>
        <a:prstGeom prst="leftArrow">
          <a:avLst/>
        </a:prstGeom>
        <a:solidFill>
          <a:sysClr val="window" lastClr="FFFFFF"/>
        </a:solidFill>
        <a:ln>
          <a:solidFill>
            <a:srgbClr val="0066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1133476</xdr:colOff>
      <xdr:row>42</xdr:row>
      <xdr:rowOff>66675</xdr:rowOff>
    </xdr:from>
    <xdr:to>
      <xdr:col>9</xdr:col>
      <xdr:colOff>190500</xdr:colOff>
      <xdr:row>42</xdr:row>
      <xdr:rowOff>200025</xdr:rowOff>
    </xdr:to>
    <xdr:sp macro="" textlink="">
      <xdr:nvSpPr>
        <xdr:cNvPr id="24" name="Freeform 21">
          <a:extLst>
            <a:ext uri="{FF2B5EF4-FFF2-40B4-BE49-F238E27FC236}">
              <a16:creationId xmlns="" xmlns:a16="http://schemas.microsoft.com/office/drawing/2014/main" id="{00000000-0008-0000-0100-000018000000}"/>
            </a:ext>
          </a:extLst>
        </xdr:cNvPr>
        <xdr:cNvSpPr>
          <a:spLocks noChangeArrowheads="1"/>
        </xdr:cNvSpPr>
      </xdr:nvSpPr>
      <xdr:spPr bwMode="auto">
        <a:xfrm>
          <a:off x="4991101" y="9515475"/>
          <a:ext cx="333374" cy="133350"/>
        </a:xfrm>
        <a:custGeom>
          <a:avLst/>
          <a:gdLst>
            <a:gd name="T0" fmla="*/ 2147483647 w 16384"/>
            <a:gd name="T1" fmla="*/ 0 h 16384"/>
            <a:gd name="T2" fmla="*/ 2147483647 w 16384"/>
            <a:gd name="T3" fmla="*/ 2147483647 h 16384"/>
            <a:gd name="T4" fmla="*/ 0 w 16384"/>
            <a:gd name="T5" fmla="*/ 2147483647 h 16384"/>
            <a:gd name="T6" fmla="*/ 0 w 16384"/>
            <a:gd name="T7" fmla="*/ 2147483647 h 16384"/>
            <a:gd name="T8" fmla="*/ 2147483647 w 16384"/>
            <a:gd name="T9" fmla="*/ 2147483647 h 16384"/>
            <a:gd name="T10" fmla="*/ 2147483647 w 16384"/>
            <a:gd name="T11" fmla="*/ 2147483647 h 16384"/>
            <a:gd name="T12" fmla="*/ 2147483647 w 16384"/>
            <a:gd name="T13" fmla="*/ 2147483647 h 16384"/>
            <a:gd name="T14" fmla="*/ 2147483647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 name="T24" fmla="*/ 0 w 16384"/>
            <a:gd name="T25" fmla="*/ 0 h 16384"/>
            <a:gd name="T26" fmla="*/ 16384 w 16384"/>
            <a:gd name="T27" fmla="*/ 16384 h 16384"/>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6384" h="16384">
              <a:moveTo>
                <a:pt x="12288" y="0"/>
              </a:moveTo>
              <a:lnTo>
                <a:pt x="12288" y="4096"/>
              </a:lnTo>
              <a:lnTo>
                <a:pt x="0" y="4096"/>
              </a:lnTo>
              <a:lnTo>
                <a:pt x="0" y="12288"/>
              </a:lnTo>
              <a:lnTo>
                <a:pt x="12288" y="12288"/>
              </a:lnTo>
              <a:lnTo>
                <a:pt x="12288" y="16384"/>
              </a:lnTo>
              <a:lnTo>
                <a:pt x="16384" y="8192"/>
              </a:lnTo>
              <a:lnTo>
                <a:pt x="12288" y="0"/>
              </a:lnTo>
              <a:close/>
            </a:path>
          </a:pathLst>
        </a:custGeom>
        <a:solidFill>
          <a:srgbClr val="C0C0C0"/>
        </a:solidFill>
        <a:ln w="9360">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P\Desktop\Tidrapporter%202014-2015\11.%20November%2020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VEMBER - 2014"/>
      <sheetName val="Interna mil"/>
    </sheetNames>
    <sheetDataSet>
      <sheetData sheetId="0" refreshError="1"/>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tidrapport@engineeringpartner.se"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pageSetUpPr fitToPage="1"/>
  </sheetPr>
  <dimension ref="A1:AR75"/>
  <sheetViews>
    <sheetView tabSelected="1" topLeftCell="B1" workbookViewId="0">
      <selection activeCell="AN10" sqref="AN10"/>
    </sheetView>
  </sheetViews>
  <sheetFormatPr defaultColWidth="9.109375" defaultRowHeight="15" customHeight="1" x14ac:dyDescent="0.3"/>
  <cols>
    <col min="1" max="1" width="4.33203125" style="73" customWidth="1"/>
    <col min="2" max="2" width="7" style="73" customWidth="1"/>
    <col min="3" max="5" width="7.33203125" style="73" customWidth="1"/>
    <col min="6" max="6" width="7.6640625" style="73" customWidth="1"/>
    <col min="7" max="9" width="9.6640625" style="73" customWidth="1"/>
    <col min="10" max="10" width="16.109375" style="73" hidden="1" customWidth="1"/>
    <col min="11" max="11" width="7.33203125" style="73" customWidth="1"/>
    <col min="12" max="12" width="16.44140625" style="73" customWidth="1"/>
    <col min="13" max="13" width="11" style="73" hidden="1" customWidth="1"/>
    <col min="14" max="14" width="17.109375" style="73" customWidth="1"/>
    <col min="15" max="15" width="8.5546875" style="72" customWidth="1"/>
    <col min="16" max="16" width="6.88671875" style="72" hidden="1" customWidth="1"/>
    <col min="17" max="17" width="15.88671875" style="72" hidden="1" customWidth="1"/>
    <col min="18" max="18" width="15.44140625" style="72" hidden="1" customWidth="1"/>
    <col min="19" max="19" width="17.109375" style="72" hidden="1" customWidth="1"/>
    <col min="20" max="20" width="21.6640625" style="72" hidden="1" customWidth="1"/>
    <col min="21" max="21" width="17.5546875" style="72" hidden="1" customWidth="1"/>
    <col min="22" max="22" width="19.109375" style="72" hidden="1" customWidth="1"/>
    <col min="23" max="23" width="14.6640625" style="72" hidden="1" customWidth="1"/>
    <col min="24" max="24" width="23.44140625" style="72" hidden="1" customWidth="1"/>
    <col min="25" max="25" width="22.33203125" style="72" hidden="1" customWidth="1"/>
    <col min="26" max="26" width="18.6640625" style="72" hidden="1" customWidth="1"/>
    <col min="27" max="27" width="17.6640625" style="72" hidden="1" customWidth="1"/>
    <col min="28" max="28" width="15.88671875" style="72" hidden="1" customWidth="1"/>
    <col min="29" max="29" width="18.109375" style="72" hidden="1" customWidth="1"/>
    <col min="30" max="30" width="15.6640625" style="72" hidden="1" customWidth="1"/>
    <col min="31" max="31" width="17.109375" style="72" hidden="1" customWidth="1"/>
    <col min="32" max="32" width="17.88671875" style="72" hidden="1" customWidth="1"/>
    <col min="33" max="33" width="15.33203125" style="72" hidden="1" customWidth="1"/>
    <col min="34" max="34" width="16.88671875" style="72" hidden="1" customWidth="1"/>
    <col min="35" max="35" width="10.6640625" style="72" hidden="1" customWidth="1"/>
    <col min="36" max="36" width="8.33203125" style="72" hidden="1" customWidth="1"/>
    <col min="37" max="37" width="22.109375" style="72" hidden="1" customWidth="1"/>
    <col min="38" max="38" width="9.109375" style="72" customWidth="1"/>
    <col min="39" max="43" width="9.109375" style="73"/>
    <col min="44" max="44" width="0" style="73" hidden="1" customWidth="1"/>
    <col min="45" max="16384" width="9.109375" style="73"/>
  </cols>
  <sheetData>
    <row r="1" spans="1:44" s="42" customFormat="1" ht="15" customHeight="1" x14ac:dyDescent="0.3">
      <c r="A1" s="212"/>
      <c r="B1" s="213"/>
      <c r="C1" s="213"/>
      <c r="D1" s="37"/>
      <c r="E1" s="38"/>
      <c r="F1" s="224" t="s">
        <v>82</v>
      </c>
      <c r="G1" s="225"/>
      <c r="H1" s="225"/>
      <c r="I1" s="226"/>
      <c r="J1" s="214" t="s">
        <v>44</v>
      </c>
      <c r="K1" s="215"/>
      <c r="L1" s="215"/>
      <c r="M1" s="215"/>
      <c r="N1" s="39" t="s">
        <v>21</v>
      </c>
      <c r="O1" s="40"/>
      <c r="P1" s="41"/>
      <c r="Q1" s="41"/>
      <c r="R1" s="41"/>
      <c r="S1" s="41"/>
      <c r="T1" s="41"/>
      <c r="U1" s="41"/>
      <c r="V1" s="41"/>
      <c r="W1" s="41"/>
      <c r="X1" s="41"/>
      <c r="Y1" s="41"/>
      <c r="Z1" s="41"/>
      <c r="AA1" s="41"/>
      <c r="AB1" s="41"/>
      <c r="AC1" s="41"/>
      <c r="AD1" s="41"/>
      <c r="AE1" s="41"/>
      <c r="AF1" s="41"/>
      <c r="AG1" s="41"/>
      <c r="AH1" s="41"/>
      <c r="AI1" s="41"/>
      <c r="AJ1" s="41"/>
      <c r="AK1" s="41"/>
      <c r="AL1" s="41"/>
    </row>
    <row r="2" spans="1:44" s="42" customFormat="1" ht="15" customHeight="1" thickBot="1" x14ac:dyDescent="0.35">
      <c r="A2" s="43"/>
      <c r="B2" s="44"/>
      <c r="C2" s="45"/>
      <c r="D2" s="46"/>
      <c r="E2" s="46"/>
      <c r="F2" s="227"/>
      <c r="G2" s="228"/>
      <c r="H2" s="228"/>
      <c r="I2" s="229"/>
      <c r="J2" s="216" t="s">
        <v>109</v>
      </c>
      <c r="K2" s="217"/>
      <c r="L2" s="217"/>
      <c r="M2" s="217"/>
      <c r="N2" s="192">
        <v>43101</v>
      </c>
      <c r="O2" s="47"/>
      <c r="P2" s="41"/>
      <c r="Q2" s="41"/>
      <c r="R2" s="41"/>
      <c r="S2" s="41"/>
      <c r="T2" s="41"/>
      <c r="U2" s="41"/>
      <c r="V2" s="41"/>
      <c r="W2" s="41"/>
      <c r="X2" s="41"/>
      <c r="Y2" s="41"/>
      <c r="Z2" s="41"/>
      <c r="AA2" s="41"/>
      <c r="AB2" s="41"/>
      <c r="AC2" s="41"/>
      <c r="AD2" s="41"/>
      <c r="AE2" s="41"/>
      <c r="AF2" s="41"/>
      <c r="AG2" s="41"/>
      <c r="AH2" s="41"/>
      <c r="AI2" s="41"/>
      <c r="AJ2" s="41"/>
      <c r="AK2" s="41"/>
      <c r="AL2" s="41"/>
    </row>
    <row r="3" spans="1:44" s="42" customFormat="1" ht="15" customHeight="1" thickBot="1" x14ac:dyDescent="0.35">
      <c r="A3" s="43"/>
      <c r="B3" s="44"/>
      <c r="C3" s="45"/>
      <c r="D3" s="46"/>
      <c r="E3" s="46"/>
      <c r="F3" s="218">
        <v>264</v>
      </c>
      <c r="G3" s="218"/>
      <c r="H3" s="218"/>
      <c r="I3" s="218"/>
      <c r="J3" s="217"/>
      <c r="K3" s="217"/>
      <c r="L3" s="217"/>
      <c r="M3" s="217"/>
      <c r="N3" s="193"/>
      <c r="O3" s="47"/>
      <c r="P3" s="41"/>
      <c r="Q3" s="41"/>
      <c r="R3" s="41"/>
      <c r="S3" s="41"/>
      <c r="T3" s="41"/>
      <c r="U3" s="41"/>
      <c r="V3" s="41"/>
      <c r="W3" s="41"/>
      <c r="X3" s="41"/>
      <c r="Y3" s="41"/>
      <c r="Z3" s="41"/>
      <c r="AA3" s="41"/>
      <c r="AB3" s="41"/>
      <c r="AC3" s="41"/>
      <c r="AD3" s="41"/>
      <c r="AE3" s="41"/>
      <c r="AF3" s="41"/>
      <c r="AG3" s="41"/>
      <c r="AH3" s="41"/>
      <c r="AI3" s="41"/>
      <c r="AJ3" s="41"/>
      <c r="AK3" s="41"/>
      <c r="AL3" s="41"/>
    </row>
    <row r="4" spans="1:44" s="42" customFormat="1" ht="15" customHeight="1" thickBot="1" x14ac:dyDescent="0.35">
      <c r="A4" s="43"/>
      <c r="B4" s="44"/>
      <c r="C4" s="45"/>
      <c r="D4" s="46"/>
      <c r="E4" s="46"/>
      <c r="F4" s="219"/>
      <c r="G4" s="219"/>
      <c r="H4" s="219"/>
      <c r="I4" s="219"/>
      <c r="J4" s="221" t="s">
        <v>45</v>
      </c>
      <c r="K4" s="221"/>
      <c r="L4" s="221"/>
      <c r="M4" s="221"/>
      <c r="N4" s="48" t="s">
        <v>88</v>
      </c>
      <c r="O4" s="47"/>
      <c r="P4" s="41"/>
      <c r="Q4" s="41"/>
      <c r="R4" s="41"/>
      <c r="S4" s="41"/>
      <c r="T4" s="41"/>
      <c r="U4" s="41"/>
      <c r="V4" s="41"/>
      <c r="W4" s="41"/>
      <c r="X4" s="41"/>
      <c r="Y4" s="41"/>
      <c r="Z4" s="41"/>
      <c r="AA4" s="41"/>
      <c r="AB4" s="41"/>
      <c r="AC4" s="41"/>
      <c r="AD4" s="41"/>
      <c r="AE4" s="41"/>
      <c r="AF4" s="41"/>
      <c r="AG4" s="41"/>
      <c r="AH4" s="41"/>
      <c r="AI4" s="41"/>
      <c r="AJ4" s="41"/>
      <c r="AK4" s="41"/>
      <c r="AL4" s="41"/>
    </row>
    <row r="5" spans="1:44" s="42" customFormat="1" ht="15" customHeight="1" thickBot="1" x14ac:dyDescent="0.35">
      <c r="A5" s="49"/>
      <c r="B5" s="50"/>
      <c r="C5" s="50"/>
      <c r="D5" s="46"/>
      <c r="E5" s="51"/>
      <c r="F5" s="219"/>
      <c r="G5" s="219"/>
      <c r="H5" s="219"/>
      <c r="I5" s="219"/>
      <c r="J5" s="222"/>
      <c r="K5" s="222"/>
      <c r="L5" s="222"/>
      <c r="M5" s="222"/>
      <c r="N5" s="190" t="s">
        <v>101</v>
      </c>
      <c r="O5" s="47"/>
      <c r="P5" s="41"/>
      <c r="Q5" s="41"/>
      <c r="R5" s="41"/>
      <c r="S5" s="41"/>
      <c r="T5" s="41"/>
      <c r="U5" s="41"/>
      <c r="V5" s="41"/>
      <c r="W5" s="41"/>
      <c r="X5" s="41"/>
      <c r="Y5" s="41"/>
      <c r="Z5" s="41"/>
      <c r="AA5" s="41"/>
      <c r="AB5" s="41"/>
      <c r="AC5" s="41"/>
      <c r="AD5" s="41"/>
      <c r="AE5" s="41"/>
      <c r="AF5" s="41"/>
      <c r="AG5" s="41"/>
      <c r="AH5" s="41"/>
      <c r="AI5" s="41"/>
      <c r="AJ5" s="41"/>
      <c r="AK5" s="41"/>
      <c r="AL5" s="41"/>
    </row>
    <row r="6" spans="1:44" s="42" customFormat="1" ht="15" customHeight="1" thickBot="1" x14ac:dyDescent="0.35">
      <c r="A6" s="52"/>
      <c r="B6" s="53"/>
      <c r="C6" s="53"/>
      <c r="D6" s="54"/>
      <c r="E6" s="55"/>
      <c r="F6" s="220"/>
      <c r="G6" s="220"/>
      <c r="H6" s="220"/>
      <c r="I6" s="220"/>
      <c r="J6" s="223"/>
      <c r="K6" s="223"/>
      <c r="L6" s="223"/>
      <c r="M6" s="223"/>
      <c r="N6" s="191"/>
      <c r="O6" s="47"/>
      <c r="P6" s="41"/>
      <c r="Q6" s="41"/>
      <c r="R6" s="41"/>
      <c r="S6" s="41"/>
      <c r="T6" s="41"/>
      <c r="U6" s="41"/>
      <c r="V6" s="41"/>
      <c r="W6" s="41"/>
      <c r="X6" s="41"/>
      <c r="Y6" s="41"/>
      <c r="Z6" s="41"/>
      <c r="AA6" s="41"/>
      <c r="AB6" s="41"/>
      <c r="AC6" s="41"/>
      <c r="AD6" s="41"/>
      <c r="AE6" s="41"/>
      <c r="AF6" s="41"/>
      <c r="AG6" s="41"/>
      <c r="AH6" s="41"/>
      <c r="AI6" s="41"/>
      <c r="AJ6" s="41"/>
      <c r="AK6" s="41"/>
      <c r="AL6" s="41"/>
    </row>
    <row r="7" spans="1:44" s="63" customFormat="1" ht="21" customHeight="1" x14ac:dyDescent="0.3">
      <c r="A7" s="56"/>
      <c r="B7" s="57"/>
      <c r="C7" s="57"/>
      <c r="D7" s="203"/>
      <c r="E7" s="203"/>
      <c r="F7" s="57"/>
      <c r="G7" s="58" t="s">
        <v>46</v>
      </c>
      <c r="H7" s="203" t="s">
        <v>47</v>
      </c>
      <c r="I7" s="203"/>
      <c r="J7" s="59" t="s">
        <v>48</v>
      </c>
      <c r="K7" s="203" t="s">
        <v>49</v>
      </c>
      <c r="L7" s="203"/>
      <c r="M7" s="203"/>
      <c r="N7" s="60"/>
      <c r="O7" s="61"/>
      <c r="P7" s="62"/>
      <c r="Q7" s="62"/>
      <c r="R7" s="62"/>
      <c r="S7" s="62"/>
      <c r="T7" s="62"/>
      <c r="U7" s="62"/>
      <c r="V7" s="62"/>
      <c r="W7" s="62"/>
      <c r="X7" s="62"/>
      <c r="Y7" s="62"/>
      <c r="Z7" s="62"/>
      <c r="AA7" s="62"/>
      <c r="AB7" s="62"/>
      <c r="AC7" s="62"/>
      <c r="AD7" s="62"/>
      <c r="AE7" s="62"/>
      <c r="AF7" s="62"/>
      <c r="AG7" s="62"/>
      <c r="AH7" s="62"/>
      <c r="AI7" s="62"/>
      <c r="AJ7" s="62"/>
      <c r="AK7" s="62"/>
      <c r="AL7" s="62"/>
    </row>
    <row r="8" spans="1:44" ht="44.1" customHeight="1" thickBot="1" x14ac:dyDescent="0.35">
      <c r="A8" s="64" t="s">
        <v>50</v>
      </c>
      <c r="B8" s="65" t="s">
        <v>51</v>
      </c>
      <c r="C8" s="66" t="s">
        <v>52</v>
      </c>
      <c r="D8" s="66" t="s">
        <v>53</v>
      </c>
      <c r="E8" s="66" t="s">
        <v>54</v>
      </c>
      <c r="F8" s="67" t="s">
        <v>55</v>
      </c>
      <c r="G8" s="68" t="s">
        <v>85</v>
      </c>
      <c r="H8" s="66" t="s">
        <v>56</v>
      </c>
      <c r="I8" s="66" t="s">
        <v>57</v>
      </c>
      <c r="J8" s="66" t="s">
        <v>58</v>
      </c>
      <c r="K8" s="66" t="s">
        <v>59</v>
      </c>
      <c r="L8" s="66" t="s">
        <v>60</v>
      </c>
      <c r="M8" s="69" t="s">
        <v>61</v>
      </c>
      <c r="N8" s="70" t="s">
        <v>62</v>
      </c>
      <c r="O8" s="93"/>
    </row>
    <row r="9" spans="1:44" ht="15.75" customHeight="1" x14ac:dyDescent="0.3">
      <c r="A9" s="74">
        <v>1</v>
      </c>
      <c r="B9" s="164" t="s">
        <v>64</v>
      </c>
      <c r="C9" s="165">
        <v>0.33333333333333331</v>
      </c>
      <c r="D9" s="165">
        <v>0.70833333333333337</v>
      </c>
      <c r="E9" s="166">
        <v>4.1666666666666664E-2</v>
      </c>
      <c r="F9" s="167">
        <f t="shared" ref="F9:F17" si="0">IF(AND(G9="ja",OR(B9 = "lör",B9 = "sön")),0,IF(AND(G9="ja",T9&gt;=8.5),8,T9))</f>
        <v>8</v>
      </c>
      <c r="G9" s="36"/>
      <c r="H9" s="168">
        <f>IF(G9="Ja",V9+X9-Z9-Y9,0)</f>
        <v>0</v>
      </c>
      <c r="I9" s="169">
        <f t="shared" ref="I9:I17" si="1">IF(G9 = "ja",IF(OR(B9="lör",B9="sön"),T9,Z9+Y9),0)</f>
        <v>0</v>
      </c>
      <c r="J9" s="170"/>
      <c r="K9" s="171" t="str">
        <f t="shared" ref="K9:K10" si="2">IF(M9&gt;0,"Orsak?","-")</f>
        <v>-</v>
      </c>
      <c r="L9" s="170">
        <f t="shared" ref="L9:L17" si="3">IF(K9="SJ",8-F9,IF(K9="SE",8-F9,IF(K9="OS",8-F9,IF(K9="TL",8-F9,IF(K9="PL",8-F9,IF(K9="VB",8-F9,IF(K9="FL",8-F9,IF(K9="PE",8-F9,0))))))))</f>
        <v>0</v>
      </c>
      <c r="M9" s="172">
        <f t="shared" ref="M9:M17" si="4">IF(F9&lt;8,8-F9,0)</f>
        <v>0</v>
      </c>
      <c r="N9" s="173"/>
      <c r="O9" s="175" t="s">
        <v>100</v>
      </c>
      <c r="P9" s="80">
        <f t="shared" ref="P9:P17" si="5">D9-C9-E9</f>
        <v>0.33333333333333337</v>
      </c>
      <c r="Q9" s="81">
        <f t="shared" ref="Q9:Q10" si="6">HOUR(P9)</f>
        <v>8</v>
      </c>
      <c r="R9" s="82">
        <f t="shared" ref="R9:R10" si="7">MINUTE(P9)</f>
        <v>0</v>
      </c>
      <c r="S9" s="83">
        <f t="shared" ref="S9:S10" si="8">R9/60</f>
        <v>0</v>
      </c>
      <c r="T9" s="82">
        <f t="shared" ref="T9:T10" si="9">Q9+S9</f>
        <v>8</v>
      </c>
      <c r="U9" s="84">
        <f t="shared" ref="U9:U17" si="10">IF(AND(G9="Ja",F9&gt;=8),T9-8,0)</f>
        <v>0</v>
      </c>
      <c r="V9" s="82">
        <f t="shared" ref="V9:V10" si="11">TRUNC(U9,0)</f>
        <v>0</v>
      </c>
      <c r="W9" s="82">
        <f t="shared" ref="W9:W10" si="12">U9-V9</f>
        <v>0</v>
      </c>
      <c r="X9" s="83">
        <f t="shared" ref="X9:X10" si="13">IF(W9&gt;=0.5,0.5,0)</f>
        <v>0</v>
      </c>
      <c r="Y9" s="85">
        <f t="shared" ref="Y9:Y17" si="14">IF(HOUR(C9)&lt;6,(AF9)+(AG9),0)</f>
        <v>0</v>
      </c>
      <c r="Z9" s="85">
        <f t="shared" ref="Z9:Z10" si="15">IF(AA9&gt;=20,AA9-20+(AB9),0)</f>
        <v>0</v>
      </c>
      <c r="AA9" s="85">
        <f t="shared" ref="AA9:AA17" si="16">IF(HOUR(D9)=0,24,HOUR(D9))</f>
        <v>17</v>
      </c>
      <c r="AB9" s="85">
        <f t="shared" ref="AB9:AB17" si="17">IF(AND(HOUR(D9)&gt;=20,MINUTE(D9)&gt;=30),0.5,0)</f>
        <v>0</v>
      </c>
      <c r="AC9" s="85">
        <f t="shared" ref="AC9:AC17" si="18">IF(AND(HOUR(C9)&lt;6,MINUTE(C9)&lt;=30),0.5,0)</f>
        <v>0</v>
      </c>
      <c r="AD9" s="86">
        <f t="shared" ref="AD9:AD17" si="19">HOUR(C9)+MINUTE(C9)/60</f>
        <v>8</v>
      </c>
      <c r="AE9" s="87">
        <f t="shared" ref="AE9:AE10" si="20">(AD9-6)*(-1)</f>
        <v>-2</v>
      </c>
      <c r="AF9" s="87">
        <f t="shared" ref="AF9:AF10" si="21">TRUNC(AE9)</f>
        <v>-2</v>
      </c>
      <c r="AG9" s="85">
        <f t="shared" ref="AG9:AG10" si="22">IF(AE9-AF9&gt;=0.5,0.5,0)</f>
        <v>0</v>
      </c>
      <c r="AH9" s="85">
        <f t="shared" ref="AH9:AI10" si="23">IF(T9-TRUNC(T9)&gt;=0.5,TRUNC(T9)+0.5,TRUNC(T9))</f>
        <v>8</v>
      </c>
      <c r="AI9" s="85">
        <f t="shared" si="23"/>
        <v>0</v>
      </c>
      <c r="AJ9" s="85"/>
      <c r="AK9" s="88">
        <f>SUM((AJ9:AJ99),(T9:T99))</f>
        <v>168</v>
      </c>
      <c r="AR9" s="73" t="s">
        <v>84</v>
      </c>
    </row>
    <row r="10" spans="1:44" ht="15.75" customHeight="1" x14ac:dyDescent="0.3">
      <c r="A10" s="74">
        <v>2</v>
      </c>
      <c r="B10" s="164" t="s">
        <v>65</v>
      </c>
      <c r="C10" s="165">
        <v>0.33333333333333331</v>
      </c>
      <c r="D10" s="165">
        <v>0.70833333333333337</v>
      </c>
      <c r="E10" s="166">
        <v>4.1666666666666664E-2</v>
      </c>
      <c r="F10" s="167">
        <f t="shared" ref="F10" si="24">IF(AND(G10="ja",OR(B10 = "lör",B10 = "sön")),0,IF(AND(G10="ja",T10&gt;=8.5),8,T10))</f>
        <v>8</v>
      </c>
      <c r="G10" s="36"/>
      <c r="H10" s="168">
        <f>IF(G10="Ja",V10+X10-Z10-Y10,0)</f>
        <v>0</v>
      </c>
      <c r="I10" s="169">
        <f t="shared" ref="I10" si="25">IF(G10 = "ja",IF(OR(B10="lör",B10="sön"),T10,Z10+Y10),0)</f>
        <v>0</v>
      </c>
      <c r="J10" s="170"/>
      <c r="K10" s="171" t="str">
        <f t="shared" si="2"/>
        <v>-</v>
      </c>
      <c r="L10" s="170">
        <f t="shared" ref="L10" si="26">IF(K10="SJ",8-F10,IF(K10="SE",8-F10,IF(K10="OS",8-F10,IF(K10="TL",8-F10,IF(K10="PL",8-F10,IF(K10="VB",8-F10,IF(K10="FL",8-F10,IF(K10="PE",8-F10,0))))))))</f>
        <v>0</v>
      </c>
      <c r="M10" s="172">
        <f t="shared" ref="M10" si="27">IF(F10&lt;8,8-F10,0)</f>
        <v>0</v>
      </c>
      <c r="N10" s="173"/>
      <c r="O10" s="92"/>
      <c r="P10" s="80">
        <f t="shared" ref="P10" si="28">D10-C10-E10</f>
        <v>0.33333333333333337</v>
      </c>
      <c r="Q10" s="81">
        <f t="shared" si="6"/>
        <v>8</v>
      </c>
      <c r="R10" s="82">
        <f t="shared" si="7"/>
        <v>0</v>
      </c>
      <c r="S10" s="83">
        <f t="shared" si="8"/>
        <v>0</v>
      </c>
      <c r="T10" s="82">
        <f t="shared" si="9"/>
        <v>8</v>
      </c>
      <c r="U10" s="84">
        <f t="shared" ref="U10" si="29">IF(AND(G10="Ja",F10&gt;=8),T10-8,0)</f>
        <v>0</v>
      </c>
      <c r="V10" s="82">
        <f t="shared" si="11"/>
        <v>0</v>
      </c>
      <c r="W10" s="82">
        <f t="shared" si="12"/>
        <v>0</v>
      </c>
      <c r="X10" s="83">
        <f t="shared" si="13"/>
        <v>0</v>
      </c>
      <c r="Y10" s="85">
        <f t="shared" ref="Y10" si="30">IF(HOUR(C10)&lt;6,(AF10)+(AG10),0)</f>
        <v>0</v>
      </c>
      <c r="Z10" s="85">
        <f t="shared" si="15"/>
        <v>0</v>
      </c>
      <c r="AA10" s="85">
        <f t="shared" ref="AA10" si="31">IF(HOUR(D10)=0,24,HOUR(D10))</f>
        <v>17</v>
      </c>
      <c r="AB10" s="85">
        <f t="shared" ref="AB10" si="32">IF(AND(HOUR(D10)&gt;=20,MINUTE(D10)&gt;=30),0.5,0)</f>
        <v>0</v>
      </c>
      <c r="AC10" s="85">
        <f t="shared" ref="AC10" si="33">IF(AND(HOUR(C10)&lt;6,MINUTE(C10)&lt;=30),0.5,0)</f>
        <v>0</v>
      </c>
      <c r="AD10" s="86">
        <f t="shared" ref="AD10" si="34">HOUR(C10)+MINUTE(C10)/60</f>
        <v>8</v>
      </c>
      <c r="AE10" s="87">
        <f t="shared" si="20"/>
        <v>-2</v>
      </c>
      <c r="AF10" s="87">
        <f t="shared" si="21"/>
        <v>-2</v>
      </c>
      <c r="AG10" s="85">
        <f t="shared" si="22"/>
        <v>0</v>
      </c>
      <c r="AH10" s="85">
        <f t="shared" si="23"/>
        <v>8</v>
      </c>
      <c r="AI10" s="85">
        <f t="shared" si="23"/>
        <v>0</v>
      </c>
      <c r="AJ10" s="85"/>
      <c r="AK10" s="88">
        <f>SUM((AJ9:AJ10),(T9:T10))</f>
        <v>16</v>
      </c>
    </row>
    <row r="11" spans="1:44" ht="15.75" customHeight="1" x14ac:dyDescent="0.3">
      <c r="A11" s="74">
        <v>3</v>
      </c>
      <c r="B11" s="75" t="s">
        <v>83</v>
      </c>
      <c r="C11" s="29"/>
      <c r="D11" s="29"/>
      <c r="E11" s="32"/>
      <c r="F11" s="76">
        <f t="shared" si="0"/>
        <v>0</v>
      </c>
      <c r="G11" s="30"/>
      <c r="H11" s="77"/>
      <c r="I11" s="90">
        <f t="shared" si="1"/>
        <v>0</v>
      </c>
      <c r="J11" s="78"/>
      <c r="K11" s="31"/>
      <c r="L11" s="78">
        <f t="shared" si="3"/>
        <v>0</v>
      </c>
      <c r="M11" s="79">
        <f t="shared" si="4"/>
        <v>8</v>
      </c>
      <c r="N11" s="33"/>
      <c r="O11" s="89"/>
      <c r="P11" s="80">
        <f t="shared" si="5"/>
        <v>0</v>
      </c>
      <c r="Q11" s="81">
        <f t="shared" ref="Q11:Q17" si="35">HOUR(P11)</f>
        <v>0</v>
      </c>
      <c r="R11" s="82">
        <f t="shared" ref="R11:R17" si="36">MINUTE(P11)</f>
        <v>0</v>
      </c>
      <c r="S11" s="83">
        <f t="shared" ref="S11:S17" si="37">R11/60</f>
        <v>0</v>
      </c>
      <c r="T11" s="82">
        <f t="shared" ref="T11:T17" si="38">Q11+S11</f>
        <v>0</v>
      </c>
      <c r="U11" s="84">
        <f t="shared" si="10"/>
        <v>0</v>
      </c>
      <c r="V11" s="82">
        <f t="shared" ref="V11:V17" si="39">TRUNC(U11,0)</f>
        <v>0</v>
      </c>
      <c r="W11" s="82">
        <f t="shared" ref="W11:W17" si="40">U11-V11</f>
        <v>0</v>
      </c>
      <c r="X11" s="83">
        <f t="shared" ref="X11:X17" si="41">IF(W11&gt;=0.5,0.5,0)</f>
        <v>0</v>
      </c>
      <c r="Y11" s="85">
        <f t="shared" si="14"/>
        <v>6</v>
      </c>
      <c r="Z11" s="85">
        <f t="shared" ref="Z11:Z17" si="42">IF(AA11&gt;=20,AA11-20+(AB11),0)</f>
        <v>4</v>
      </c>
      <c r="AA11" s="85">
        <f t="shared" si="16"/>
        <v>24</v>
      </c>
      <c r="AB11" s="85">
        <f t="shared" si="17"/>
        <v>0</v>
      </c>
      <c r="AC11" s="85">
        <f t="shared" si="18"/>
        <v>0.5</v>
      </c>
      <c r="AD11" s="86">
        <f t="shared" si="19"/>
        <v>0</v>
      </c>
      <c r="AE11" s="87">
        <f t="shared" ref="AE11:AE17" si="43">(AD11-6)*(-1)</f>
        <v>6</v>
      </c>
      <c r="AF11" s="87">
        <f t="shared" ref="AF11:AF17" si="44">TRUNC(AE11)</f>
        <v>6</v>
      </c>
      <c r="AG11" s="85">
        <f t="shared" ref="AG11:AG17" si="45">IF(AE11-AF11&gt;=0.5,0.5,0)</f>
        <v>0</v>
      </c>
      <c r="AH11" s="85">
        <f t="shared" ref="AH11:AH17" si="46">IF(T11-TRUNC(T11)&gt;=0.5,TRUNC(T11)+0.5,TRUNC(T11))</f>
        <v>0</v>
      </c>
      <c r="AI11" s="85">
        <f t="shared" ref="AI11:AI17" si="47">IF(U11-TRUNC(U11)&gt;=0.5,TRUNC(U11)+0.5,TRUNC(U11))</f>
        <v>0</v>
      </c>
      <c r="AJ11" s="85"/>
      <c r="AK11" s="88">
        <f>SUM((AJ9:AJ101),(T9:T101))</f>
        <v>168</v>
      </c>
      <c r="AR11" s="73" t="s">
        <v>84</v>
      </c>
    </row>
    <row r="12" spans="1:44" ht="15.75" customHeight="1" thickBot="1" x14ac:dyDescent="0.35">
      <c r="A12" s="74">
        <v>4</v>
      </c>
      <c r="B12" s="75" t="s">
        <v>66</v>
      </c>
      <c r="C12" s="29"/>
      <c r="D12" s="29"/>
      <c r="E12" s="32"/>
      <c r="F12" s="76">
        <f t="shared" si="0"/>
        <v>0</v>
      </c>
      <c r="G12" s="30"/>
      <c r="H12" s="77"/>
      <c r="I12" s="90">
        <f t="shared" si="1"/>
        <v>0</v>
      </c>
      <c r="J12" s="78"/>
      <c r="K12" s="31"/>
      <c r="L12" s="78">
        <f t="shared" si="3"/>
        <v>0</v>
      </c>
      <c r="M12" s="79">
        <f t="shared" si="4"/>
        <v>8</v>
      </c>
      <c r="N12" s="33"/>
      <c r="O12" s="91">
        <f>SUM(F9,F10,F11,F12,H9,H10,I9,I10,I11,I12)</f>
        <v>16</v>
      </c>
      <c r="P12" s="80">
        <f t="shared" si="5"/>
        <v>0</v>
      </c>
      <c r="Q12" s="81">
        <f t="shared" si="35"/>
        <v>0</v>
      </c>
      <c r="R12" s="82">
        <f t="shared" si="36"/>
        <v>0</v>
      </c>
      <c r="S12" s="83">
        <f t="shared" si="37"/>
        <v>0</v>
      </c>
      <c r="T12" s="82">
        <f t="shared" si="38"/>
        <v>0</v>
      </c>
      <c r="U12" s="84">
        <f t="shared" si="10"/>
        <v>0</v>
      </c>
      <c r="V12" s="82">
        <f t="shared" si="39"/>
        <v>0</v>
      </c>
      <c r="W12" s="82">
        <f t="shared" si="40"/>
        <v>0</v>
      </c>
      <c r="X12" s="83">
        <f t="shared" si="41"/>
        <v>0</v>
      </c>
      <c r="Y12" s="85">
        <f t="shared" si="14"/>
        <v>6</v>
      </c>
      <c r="Z12" s="85">
        <f t="shared" si="42"/>
        <v>4</v>
      </c>
      <c r="AA12" s="85">
        <f t="shared" si="16"/>
        <v>24</v>
      </c>
      <c r="AB12" s="85">
        <f t="shared" si="17"/>
        <v>0</v>
      </c>
      <c r="AC12" s="85">
        <f t="shared" si="18"/>
        <v>0.5</v>
      </c>
      <c r="AD12" s="86">
        <f t="shared" si="19"/>
        <v>0</v>
      </c>
      <c r="AE12" s="87">
        <f t="shared" si="43"/>
        <v>6</v>
      </c>
      <c r="AF12" s="87">
        <f t="shared" si="44"/>
        <v>6</v>
      </c>
      <c r="AG12" s="85">
        <f t="shared" si="45"/>
        <v>0</v>
      </c>
      <c r="AH12" s="85">
        <f t="shared" si="46"/>
        <v>0</v>
      </c>
      <c r="AI12" s="85">
        <f t="shared" si="47"/>
        <v>0</v>
      </c>
      <c r="AJ12" s="85"/>
      <c r="AK12" s="88">
        <f>SUM((AJ9:AJ102),(T9:T102))</f>
        <v>168</v>
      </c>
      <c r="AR12" s="73" t="s">
        <v>84</v>
      </c>
    </row>
    <row r="13" spans="1:44" ht="15.75" customHeight="1" x14ac:dyDescent="0.3">
      <c r="A13" s="74">
        <v>5</v>
      </c>
      <c r="B13" s="164" t="s">
        <v>67</v>
      </c>
      <c r="C13" s="165">
        <v>0.33333333333333331</v>
      </c>
      <c r="D13" s="165">
        <v>0.70833333333333337</v>
      </c>
      <c r="E13" s="166">
        <v>4.1666666666666664E-2</v>
      </c>
      <c r="F13" s="167">
        <f t="shared" si="0"/>
        <v>8</v>
      </c>
      <c r="G13" s="36"/>
      <c r="H13" s="168">
        <f>IF(G13="Ja",V13+X13-Z13-Y13,0)</f>
        <v>0</v>
      </c>
      <c r="I13" s="169">
        <f t="shared" si="1"/>
        <v>0</v>
      </c>
      <c r="J13" s="170"/>
      <c r="K13" s="171" t="str">
        <f t="shared" ref="K13:K17" si="48">IF(M13&gt;0,"Orsak?","-")</f>
        <v>-</v>
      </c>
      <c r="L13" s="170">
        <f t="shared" si="3"/>
        <v>0</v>
      </c>
      <c r="M13" s="172">
        <f t="shared" si="4"/>
        <v>0</v>
      </c>
      <c r="N13" s="173"/>
      <c r="O13" s="163" t="s">
        <v>104</v>
      </c>
      <c r="P13" s="80">
        <f t="shared" si="5"/>
        <v>0.33333333333333337</v>
      </c>
      <c r="Q13" s="81">
        <f t="shared" si="35"/>
        <v>8</v>
      </c>
      <c r="R13" s="82">
        <f t="shared" si="36"/>
        <v>0</v>
      </c>
      <c r="S13" s="83">
        <f t="shared" si="37"/>
        <v>0</v>
      </c>
      <c r="T13" s="82">
        <f t="shared" si="38"/>
        <v>8</v>
      </c>
      <c r="U13" s="84">
        <f t="shared" si="10"/>
        <v>0</v>
      </c>
      <c r="V13" s="82">
        <f t="shared" si="39"/>
        <v>0</v>
      </c>
      <c r="W13" s="82">
        <f t="shared" si="40"/>
        <v>0</v>
      </c>
      <c r="X13" s="83">
        <f t="shared" si="41"/>
        <v>0</v>
      </c>
      <c r="Y13" s="85">
        <f t="shared" si="14"/>
        <v>0</v>
      </c>
      <c r="Z13" s="85">
        <f t="shared" si="42"/>
        <v>0</v>
      </c>
      <c r="AA13" s="85">
        <f t="shared" si="16"/>
        <v>17</v>
      </c>
      <c r="AB13" s="85">
        <f t="shared" si="17"/>
        <v>0</v>
      </c>
      <c r="AC13" s="85">
        <f t="shared" si="18"/>
        <v>0</v>
      </c>
      <c r="AD13" s="86">
        <f t="shared" si="19"/>
        <v>8</v>
      </c>
      <c r="AE13" s="87">
        <f t="shared" si="43"/>
        <v>-2</v>
      </c>
      <c r="AF13" s="87">
        <f t="shared" si="44"/>
        <v>-2</v>
      </c>
      <c r="AG13" s="85">
        <f t="shared" si="45"/>
        <v>0</v>
      </c>
      <c r="AH13" s="85">
        <f t="shared" si="46"/>
        <v>8</v>
      </c>
      <c r="AI13" s="85">
        <f t="shared" si="47"/>
        <v>0</v>
      </c>
      <c r="AJ13" s="85"/>
      <c r="AK13" s="88">
        <f>SUM((AJ9:AJ13),(T9:T13))</f>
        <v>24</v>
      </c>
    </row>
    <row r="14" spans="1:44" ht="15.75" customHeight="1" x14ac:dyDescent="0.3">
      <c r="A14" s="74">
        <v>6</v>
      </c>
      <c r="B14" s="164" t="s">
        <v>68</v>
      </c>
      <c r="C14" s="165">
        <v>0.33333333333333331</v>
      </c>
      <c r="D14" s="165">
        <v>0.70833333333333337</v>
      </c>
      <c r="E14" s="166">
        <v>4.1666666666666664E-2</v>
      </c>
      <c r="F14" s="167">
        <f t="shared" si="0"/>
        <v>8</v>
      </c>
      <c r="G14" s="36"/>
      <c r="H14" s="168">
        <f>IF(G14="Ja",V14+X14-Z14-Y14,0)</f>
        <v>0</v>
      </c>
      <c r="I14" s="169">
        <f t="shared" si="1"/>
        <v>0</v>
      </c>
      <c r="J14" s="170"/>
      <c r="K14" s="171" t="str">
        <f t="shared" si="48"/>
        <v>-</v>
      </c>
      <c r="L14" s="170">
        <f t="shared" si="3"/>
        <v>0</v>
      </c>
      <c r="M14" s="172">
        <f t="shared" si="4"/>
        <v>0</v>
      </c>
      <c r="N14" s="173"/>
      <c r="O14" s="92"/>
      <c r="P14" s="80">
        <f t="shared" si="5"/>
        <v>0.33333333333333337</v>
      </c>
      <c r="Q14" s="81">
        <f t="shared" si="35"/>
        <v>8</v>
      </c>
      <c r="R14" s="82">
        <f t="shared" si="36"/>
        <v>0</v>
      </c>
      <c r="S14" s="83">
        <f t="shared" si="37"/>
        <v>0</v>
      </c>
      <c r="T14" s="82">
        <f t="shared" si="38"/>
        <v>8</v>
      </c>
      <c r="U14" s="84">
        <f t="shared" si="10"/>
        <v>0</v>
      </c>
      <c r="V14" s="82">
        <f t="shared" si="39"/>
        <v>0</v>
      </c>
      <c r="W14" s="82">
        <f t="shared" si="40"/>
        <v>0</v>
      </c>
      <c r="X14" s="83">
        <f t="shared" si="41"/>
        <v>0</v>
      </c>
      <c r="Y14" s="85">
        <f t="shared" si="14"/>
        <v>0</v>
      </c>
      <c r="Z14" s="85">
        <f t="shared" si="42"/>
        <v>0</v>
      </c>
      <c r="AA14" s="85">
        <f t="shared" si="16"/>
        <v>17</v>
      </c>
      <c r="AB14" s="85">
        <f t="shared" si="17"/>
        <v>0</v>
      </c>
      <c r="AC14" s="85">
        <f t="shared" si="18"/>
        <v>0</v>
      </c>
      <c r="AD14" s="86">
        <f t="shared" si="19"/>
        <v>8</v>
      </c>
      <c r="AE14" s="87">
        <f t="shared" si="43"/>
        <v>-2</v>
      </c>
      <c r="AF14" s="87">
        <f t="shared" si="44"/>
        <v>-2</v>
      </c>
      <c r="AG14" s="85">
        <f t="shared" si="45"/>
        <v>0</v>
      </c>
      <c r="AH14" s="85">
        <f t="shared" si="46"/>
        <v>8</v>
      </c>
      <c r="AI14" s="85">
        <f t="shared" si="47"/>
        <v>0</v>
      </c>
      <c r="AJ14" s="85"/>
      <c r="AK14" s="88">
        <f>SUM((AJ9:AJ14),(T9:T14))</f>
        <v>32</v>
      </c>
    </row>
    <row r="15" spans="1:44" ht="15.75" customHeight="1" x14ac:dyDescent="0.3">
      <c r="A15" s="74">
        <v>7</v>
      </c>
      <c r="B15" s="164" t="s">
        <v>63</v>
      </c>
      <c r="C15" s="165">
        <v>0.33333333333333331</v>
      </c>
      <c r="D15" s="165">
        <v>0.70833333333333337</v>
      </c>
      <c r="E15" s="166">
        <v>4.1666666666666664E-2</v>
      </c>
      <c r="F15" s="167">
        <f t="shared" si="0"/>
        <v>8</v>
      </c>
      <c r="G15" s="36"/>
      <c r="H15" s="168">
        <f>IF(G15="Ja",V15+X15-Z15-Y15,0)</f>
        <v>0</v>
      </c>
      <c r="I15" s="169">
        <f t="shared" si="1"/>
        <v>0</v>
      </c>
      <c r="J15" s="170"/>
      <c r="K15" s="171" t="str">
        <f t="shared" si="48"/>
        <v>-</v>
      </c>
      <c r="L15" s="170">
        <f t="shared" si="3"/>
        <v>0</v>
      </c>
      <c r="M15" s="172">
        <f t="shared" si="4"/>
        <v>0</v>
      </c>
      <c r="N15" s="173"/>
      <c r="O15" s="92"/>
      <c r="P15" s="80">
        <f t="shared" si="5"/>
        <v>0.33333333333333337</v>
      </c>
      <c r="Q15" s="81">
        <f t="shared" si="35"/>
        <v>8</v>
      </c>
      <c r="R15" s="82">
        <f t="shared" si="36"/>
        <v>0</v>
      </c>
      <c r="S15" s="83">
        <f t="shared" si="37"/>
        <v>0</v>
      </c>
      <c r="T15" s="82">
        <f t="shared" si="38"/>
        <v>8</v>
      </c>
      <c r="U15" s="84">
        <f t="shared" si="10"/>
        <v>0</v>
      </c>
      <c r="V15" s="82">
        <f t="shared" si="39"/>
        <v>0</v>
      </c>
      <c r="W15" s="82">
        <f t="shared" si="40"/>
        <v>0</v>
      </c>
      <c r="X15" s="83">
        <f t="shared" si="41"/>
        <v>0</v>
      </c>
      <c r="Y15" s="85">
        <f t="shared" si="14"/>
        <v>0</v>
      </c>
      <c r="Z15" s="85">
        <f t="shared" si="42"/>
        <v>0</v>
      </c>
      <c r="AA15" s="85">
        <f t="shared" si="16"/>
        <v>17</v>
      </c>
      <c r="AB15" s="85">
        <f t="shared" si="17"/>
        <v>0</v>
      </c>
      <c r="AC15" s="85">
        <f t="shared" si="18"/>
        <v>0</v>
      </c>
      <c r="AD15" s="86">
        <f t="shared" si="19"/>
        <v>8</v>
      </c>
      <c r="AE15" s="87">
        <f t="shared" si="43"/>
        <v>-2</v>
      </c>
      <c r="AF15" s="87">
        <f t="shared" si="44"/>
        <v>-2</v>
      </c>
      <c r="AG15" s="85">
        <f t="shared" si="45"/>
        <v>0</v>
      </c>
      <c r="AH15" s="85">
        <f t="shared" si="46"/>
        <v>8</v>
      </c>
      <c r="AI15" s="85">
        <f t="shared" si="47"/>
        <v>0</v>
      </c>
      <c r="AJ15" s="85"/>
      <c r="AK15" s="88">
        <f>SUM((AJ9:AJ15),(T9:T15))</f>
        <v>40</v>
      </c>
    </row>
    <row r="16" spans="1:44" ht="15.75" customHeight="1" x14ac:dyDescent="0.3">
      <c r="A16" s="74">
        <v>8</v>
      </c>
      <c r="B16" s="164" t="s">
        <v>64</v>
      </c>
      <c r="C16" s="165">
        <v>0.33333333333333331</v>
      </c>
      <c r="D16" s="165">
        <v>0.70833333333333337</v>
      </c>
      <c r="E16" s="166">
        <v>4.1666666666666664E-2</v>
      </c>
      <c r="F16" s="167">
        <f t="shared" si="0"/>
        <v>8</v>
      </c>
      <c r="G16" s="36"/>
      <c r="H16" s="168">
        <f>IF(G16="Ja",V16+X16-Z16-Y16,0)</f>
        <v>0</v>
      </c>
      <c r="I16" s="169">
        <f t="shared" si="1"/>
        <v>0</v>
      </c>
      <c r="J16" s="170"/>
      <c r="K16" s="171" t="str">
        <f t="shared" si="48"/>
        <v>-</v>
      </c>
      <c r="L16" s="170">
        <f t="shared" si="3"/>
        <v>0</v>
      </c>
      <c r="M16" s="172">
        <f t="shared" si="4"/>
        <v>0</v>
      </c>
      <c r="N16" s="173"/>
      <c r="O16" s="92"/>
      <c r="P16" s="80">
        <f t="shared" si="5"/>
        <v>0.33333333333333337</v>
      </c>
      <c r="Q16" s="81">
        <f t="shared" si="35"/>
        <v>8</v>
      </c>
      <c r="R16" s="82">
        <f t="shared" si="36"/>
        <v>0</v>
      </c>
      <c r="S16" s="83">
        <f t="shared" si="37"/>
        <v>0</v>
      </c>
      <c r="T16" s="82">
        <f t="shared" si="38"/>
        <v>8</v>
      </c>
      <c r="U16" s="84">
        <f t="shared" si="10"/>
        <v>0</v>
      </c>
      <c r="V16" s="82">
        <f t="shared" si="39"/>
        <v>0</v>
      </c>
      <c r="W16" s="82">
        <f t="shared" si="40"/>
        <v>0</v>
      </c>
      <c r="X16" s="83">
        <f t="shared" si="41"/>
        <v>0</v>
      </c>
      <c r="Y16" s="85">
        <f t="shared" si="14"/>
        <v>0</v>
      </c>
      <c r="Z16" s="85">
        <f t="shared" si="42"/>
        <v>0</v>
      </c>
      <c r="AA16" s="85">
        <f t="shared" si="16"/>
        <v>17</v>
      </c>
      <c r="AB16" s="85">
        <f t="shared" si="17"/>
        <v>0</v>
      </c>
      <c r="AC16" s="85">
        <f t="shared" si="18"/>
        <v>0</v>
      </c>
      <c r="AD16" s="86">
        <f t="shared" si="19"/>
        <v>8</v>
      </c>
      <c r="AE16" s="87">
        <f t="shared" si="43"/>
        <v>-2</v>
      </c>
      <c r="AF16" s="87">
        <f t="shared" si="44"/>
        <v>-2</v>
      </c>
      <c r="AG16" s="85">
        <f t="shared" si="45"/>
        <v>0</v>
      </c>
      <c r="AH16" s="85">
        <f t="shared" si="46"/>
        <v>8</v>
      </c>
      <c r="AI16" s="85">
        <f t="shared" si="47"/>
        <v>0</v>
      </c>
      <c r="AJ16" s="85"/>
      <c r="AK16" s="88">
        <f>SUM((AJ9:AJ16),(T9:T16))</f>
        <v>48</v>
      </c>
    </row>
    <row r="17" spans="1:44" ht="15.75" customHeight="1" x14ac:dyDescent="0.3">
      <c r="A17" s="74">
        <v>9</v>
      </c>
      <c r="B17" s="164" t="s">
        <v>65</v>
      </c>
      <c r="C17" s="165">
        <v>0.33333333333333331</v>
      </c>
      <c r="D17" s="165">
        <v>0.70833333333333337</v>
      </c>
      <c r="E17" s="166">
        <v>4.1666666666666664E-2</v>
      </c>
      <c r="F17" s="167">
        <f t="shared" si="0"/>
        <v>8</v>
      </c>
      <c r="G17" s="36"/>
      <c r="H17" s="168">
        <f>IF(G17="Ja",V17+X17-Z17-Y17,0)</f>
        <v>0</v>
      </c>
      <c r="I17" s="169">
        <f t="shared" si="1"/>
        <v>0</v>
      </c>
      <c r="J17" s="170"/>
      <c r="K17" s="171" t="str">
        <f t="shared" si="48"/>
        <v>-</v>
      </c>
      <c r="L17" s="170">
        <f t="shared" si="3"/>
        <v>0</v>
      </c>
      <c r="M17" s="172">
        <f t="shared" si="4"/>
        <v>0</v>
      </c>
      <c r="N17" s="173"/>
      <c r="O17" s="92"/>
      <c r="P17" s="80">
        <f t="shared" si="5"/>
        <v>0.33333333333333337</v>
      </c>
      <c r="Q17" s="81">
        <f t="shared" si="35"/>
        <v>8</v>
      </c>
      <c r="R17" s="82">
        <f t="shared" si="36"/>
        <v>0</v>
      </c>
      <c r="S17" s="83">
        <f t="shared" si="37"/>
        <v>0</v>
      </c>
      <c r="T17" s="82">
        <f t="shared" si="38"/>
        <v>8</v>
      </c>
      <c r="U17" s="84">
        <f t="shared" si="10"/>
        <v>0</v>
      </c>
      <c r="V17" s="82">
        <f t="shared" si="39"/>
        <v>0</v>
      </c>
      <c r="W17" s="82">
        <f t="shared" si="40"/>
        <v>0</v>
      </c>
      <c r="X17" s="83">
        <f t="shared" si="41"/>
        <v>0</v>
      </c>
      <c r="Y17" s="85">
        <f t="shared" si="14"/>
        <v>0</v>
      </c>
      <c r="Z17" s="85">
        <f t="shared" si="42"/>
        <v>0</v>
      </c>
      <c r="AA17" s="85">
        <f t="shared" si="16"/>
        <v>17</v>
      </c>
      <c r="AB17" s="85">
        <f t="shared" si="17"/>
        <v>0</v>
      </c>
      <c r="AC17" s="85">
        <f t="shared" si="18"/>
        <v>0</v>
      </c>
      <c r="AD17" s="86">
        <f t="shared" si="19"/>
        <v>8</v>
      </c>
      <c r="AE17" s="87">
        <f t="shared" si="43"/>
        <v>-2</v>
      </c>
      <c r="AF17" s="87">
        <f t="shared" si="44"/>
        <v>-2</v>
      </c>
      <c r="AG17" s="85">
        <f t="shared" si="45"/>
        <v>0</v>
      </c>
      <c r="AH17" s="85">
        <f t="shared" si="46"/>
        <v>8</v>
      </c>
      <c r="AI17" s="85">
        <f t="shared" si="47"/>
        <v>0</v>
      </c>
      <c r="AJ17" s="85"/>
      <c r="AK17" s="88">
        <f>SUM((AJ9:AJ17),(T9:T17))</f>
        <v>56</v>
      </c>
    </row>
    <row r="18" spans="1:44" ht="15.75" customHeight="1" x14ac:dyDescent="0.3">
      <c r="A18" s="74">
        <v>10</v>
      </c>
      <c r="B18" s="75" t="s">
        <v>83</v>
      </c>
      <c r="C18" s="29"/>
      <c r="D18" s="29"/>
      <c r="E18" s="32"/>
      <c r="F18" s="76">
        <f t="shared" ref="F18:F24" si="49">IF(AND(G18="ja",OR(B18 = "lör",B18 = "sön")),0,IF(AND(G18="ja",T18&gt;=8.5),8,T18))</f>
        <v>0</v>
      </c>
      <c r="G18" s="30"/>
      <c r="H18" s="77"/>
      <c r="I18" s="90">
        <f t="shared" ref="I18:I24" si="50">IF(G18 = "ja",IF(OR(B18="lör",B18="sön"),T18,Z18+Y18),0)</f>
        <v>0</v>
      </c>
      <c r="J18" s="78"/>
      <c r="K18" s="31"/>
      <c r="L18" s="78">
        <f t="shared" ref="L18:L24" si="51">IF(K18="SJ",8-F18,IF(K18="SE",8-F18,IF(K18="OS",8-F18,IF(K18="TL",8-F18,IF(K18="PL",8-F18,IF(K18="VB",8-F18,IF(K18="FL",8-F18,IF(K18="PE",8-F18,0))))))))</f>
        <v>0</v>
      </c>
      <c r="M18" s="79">
        <f t="shared" ref="M18:M24" si="52">IF(F18&lt;8,8-F18,0)</f>
        <v>8</v>
      </c>
      <c r="N18" s="33"/>
      <c r="O18" s="89"/>
      <c r="P18" s="80">
        <f t="shared" ref="P18:P24" si="53">D18-C18-E18</f>
        <v>0</v>
      </c>
      <c r="Q18" s="81">
        <f t="shared" ref="Q18:Q24" si="54">HOUR(P18)</f>
        <v>0</v>
      </c>
      <c r="R18" s="82">
        <f t="shared" ref="R18:R24" si="55">MINUTE(P18)</f>
        <v>0</v>
      </c>
      <c r="S18" s="83">
        <f t="shared" ref="S18:S24" si="56">R18/60</f>
        <v>0</v>
      </c>
      <c r="T18" s="82">
        <f t="shared" ref="T18:T24" si="57">Q18+S18</f>
        <v>0</v>
      </c>
      <c r="U18" s="84">
        <f t="shared" ref="U18:U24" si="58">IF(AND(G18="Ja",F18&gt;=8),T18-8,0)</f>
        <v>0</v>
      </c>
      <c r="V18" s="82">
        <f t="shared" ref="V18:V24" si="59">TRUNC(U18,0)</f>
        <v>0</v>
      </c>
      <c r="W18" s="82">
        <f t="shared" ref="W18:W24" si="60">U18-V18</f>
        <v>0</v>
      </c>
      <c r="X18" s="83">
        <f t="shared" ref="X18:X24" si="61">IF(W18&gt;=0.5,0.5,0)</f>
        <v>0</v>
      </c>
      <c r="Y18" s="85">
        <f t="shared" ref="Y18:Y24" si="62">IF(HOUR(C18)&lt;6,(AF18)+(AG18),0)</f>
        <v>6</v>
      </c>
      <c r="Z18" s="85">
        <f t="shared" ref="Z18:Z24" si="63">IF(AA18&gt;=20,AA18-20+(AB18),0)</f>
        <v>4</v>
      </c>
      <c r="AA18" s="85">
        <f t="shared" ref="AA18:AA24" si="64">IF(HOUR(D18)=0,24,HOUR(D18))</f>
        <v>24</v>
      </c>
      <c r="AB18" s="85">
        <f t="shared" ref="AB18:AB24" si="65">IF(AND(HOUR(D18)&gt;=20,MINUTE(D18)&gt;=30),0.5,0)</f>
        <v>0</v>
      </c>
      <c r="AC18" s="85">
        <f t="shared" ref="AC18:AC24" si="66">IF(AND(HOUR(C18)&lt;6,MINUTE(C18)&lt;=30),0.5,0)</f>
        <v>0.5</v>
      </c>
      <c r="AD18" s="86">
        <f t="shared" ref="AD18:AD24" si="67">HOUR(C18)+MINUTE(C18)/60</f>
        <v>0</v>
      </c>
      <c r="AE18" s="87">
        <f t="shared" ref="AE18:AE24" si="68">(AD18-6)*(-1)</f>
        <v>6</v>
      </c>
      <c r="AF18" s="87">
        <f t="shared" ref="AF18:AF24" si="69">TRUNC(AE18)</f>
        <v>6</v>
      </c>
      <c r="AG18" s="85">
        <f t="shared" ref="AG18:AG24" si="70">IF(AE18-AF18&gt;=0.5,0.5,0)</f>
        <v>0</v>
      </c>
      <c r="AH18" s="85">
        <f t="shared" ref="AH18:AH24" si="71">IF(T18-TRUNC(T18)&gt;=0.5,TRUNC(T18)+0.5,TRUNC(T18))</f>
        <v>0</v>
      </c>
      <c r="AI18" s="85">
        <f t="shared" ref="AI18:AI24" si="72">IF(U18-TRUNC(U18)&gt;=0.5,TRUNC(U18)+0.5,TRUNC(U18))</f>
        <v>0</v>
      </c>
      <c r="AJ18" s="85"/>
      <c r="AK18" s="88">
        <f>SUM((AJ13:AJ108),(T13:T108))</f>
        <v>152</v>
      </c>
      <c r="AR18" s="73" t="s">
        <v>84</v>
      </c>
    </row>
    <row r="19" spans="1:44" ht="15.75" customHeight="1" thickBot="1" x14ac:dyDescent="0.35">
      <c r="A19" s="74">
        <v>11</v>
      </c>
      <c r="B19" s="75" t="s">
        <v>66</v>
      </c>
      <c r="C19" s="29"/>
      <c r="D19" s="29"/>
      <c r="E19" s="32"/>
      <c r="F19" s="76">
        <f t="shared" si="49"/>
        <v>0</v>
      </c>
      <c r="G19" s="30"/>
      <c r="H19" s="77"/>
      <c r="I19" s="90">
        <f t="shared" si="50"/>
        <v>0</v>
      </c>
      <c r="J19" s="78"/>
      <c r="K19" s="31"/>
      <c r="L19" s="78">
        <f t="shared" si="51"/>
        <v>0</v>
      </c>
      <c r="M19" s="79">
        <f t="shared" si="52"/>
        <v>8</v>
      </c>
      <c r="N19" s="33"/>
      <c r="O19" s="89">
        <f>SUM(F13,F14,F15,F16,F17,F18,F19,H13,H14,H15,H16,H17,I13,I14,I15,I16,I17,I18,I19)</f>
        <v>40</v>
      </c>
      <c r="P19" s="80">
        <f t="shared" si="53"/>
        <v>0</v>
      </c>
      <c r="Q19" s="81">
        <f t="shared" si="54"/>
        <v>0</v>
      </c>
      <c r="R19" s="82">
        <f t="shared" si="55"/>
        <v>0</v>
      </c>
      <c r="S19" s="83">
        <f t="shared" si="56"/>
        <v>0</v>
      </c>
      <c r="T19" s="82">
        <f t="shared" si="57"/>
        <v>0</v>
      </c>
      <c r="U19" s="84">
        <f t="shared" si="58"/>
        <v>0</v>
      </c>
      <c r="V19" s="82">
        <f t="shared" si="59"/>
        <v>0</v>
      </c>
      <c r="W19" s="82">
        <f t="shared" si="60"/>
        <v>0</v>
      </c>
      <c r="X19" s="83">
        <f t="shared" si="61"/>
        <v>0</v>
      </c>
      <c r="Y19" s="85">
        <f t="shared" si="62"/>
        <v>6</v>
      </c>
      <c r="Z19" s="85">
        <f t="shared" si="63"/>
        <v>4</v>
      </c>
      <c r="AA19" s="85">
        <f t="shared" si="64"/>
        <v>24</v>
      </c>
      <c r="AB19" s="85">
        <f t="shared" si="65"/>
        <v>0</v>
      </c>
      <c r="AC19" s="85">
        <f t="shared" si="66"/>
        <v>0.5</v>
      </c>
      <c r="AD19" s="86">
        <f t="shared" si="67"/>
        <v>0</v>
      </c>
      <c r="AE19" s="87">
        <f t="shared" si="68"/>
        <v>6</v>
      </c>
      <c r="AF19" s="87">
        <f t="shared" si="69"/>
        <v>6</v>
      </c>
      <c r="AG19" s="85">
        <f t="shared" si="70"/>
        <v>0</v>
      </c>
      <c r="AH19" s="85">
        <f t="shared" si="71"/>
        <v>0</v>
      </c>
      <c r="AI19" s="85">
        <f t="shared" si="72"/>
        <v>0</v>
      </c>
      <c r="AJ19" s="85"/>
      <c r="AK19" s="88">
        <f>SUM((AJ14:AJ109),(T14:T109))</f>
        <v>144</v>
      </c>
      <c r="AR19" s="73" t="s">
        <v>84</v>
      </c>
    </row>
    <row r="20" spans="1:44" ht="15.75" customHeight="1" x14ac:dyDescent="0.3">
      <c r="A20" s="74">
        <v>12</v>
      </c>
      <c r="B20" s="164" t="s">
        <v>67</v>
      </c>
      <c r="C20" s="165">
        <v>0.33333333333333331</v>
      </c>
      <c r="D20" s="165">
        <v>0.70833333333333337</v>
      </c>
      <c r="E20" s="166">
        <v>4.1666666666666664E-2</v>
      </c>
      <c r="F20" s="167">
        <f t="shared" si="49"/>
        <v>8</v>
      </c>
      <c r="G20" s="36"/>
      <c r="H20" s="168">
        <f>IF(G20="Ja",V20+X20-Z20-Y20,0)</f>
        <v>0</v>
      </c>
      <c r="I20" s="169">
        <f t="shared" si="50"/>
        <v>0</v>
      </c>
      <c r="J20" s="170"/>
      <c r="K20" s="171" t="str">
        <f t="shared" ref="K20:K24" si="73">IF(M20&gt;0,"Orsak?","-")</f>
        <v>-</v>
      </c>
      <c r="L20" s="170">
        <f t="shared" si="51"/>
        <v>0</v>
      </c>
      <c r="M20" s="172">
        <f t="shared" si="52"/>
        <v>0</v>
      </c>
      <c r="N20" s="173"/>
      <c r="O20" s="163" t="s">
        <v>105</v>
      </c>
      <c r="P20" s="80">
        <f t="shared" si="53"/>
        <v>0.33333333333333337</v>
      </c>
      <c r="Q20" s="81">
        <f t="shared" si="54"/>
        <v>8</v>
      </c>
      <c r="R20" s="82">
        <f t="shared" si="55"/>
        <v>0</v>
      </c>
      <c r="S20" s="83">
        <f t="shared" si="56"/>
        <v>0</v>
      </c>
      <c r="T20" s="82">
        <f t="shared" si="57"/>
        <v>8</v>
      </c>
      <c r="U20" s="84">
        <f t="shared" si="58"/>
        <v>0</v>
      </c>
      <c r="V20" s="82">
        <f t="shared" si="59"/>
        <v>0</v>
      </c>
      <c r="W20" s="82">
        <f t="shared" si="60"/>
        <v>0</v>
      </c>
      <c r="X20" s="83">
        <f t="shared" si="61"/>
        <v>0</v>
      </c>
      <c r="Y20" s="85">
        <f t="shared" si="62"/>
        <v>0</v>
      </c>
      <c r="Z20" s="85">
        <f t="shared" si="63"/>
        <v>0</v>
      </c>
      <c r="AA20" s="85">
        <f t="shared" si="64"/>
        <v>17</v>
      </c>
      <c r="AB20" s="85">
        <f t="shared" si="65"/>
        <v>0</v>
      </c>
      <c r="AC20" s="85">
        <f t="shared" si="66"/>
        <v>0</v>
      </c>
      <c r="AD20" s="86">
        <f t="shared" si="67"/>
        <v>8</v>
      </c>
      <c r="AE20" s="87">
        <f t="shared" si="68"/>
        <v>-2</v>
      </c>
      <c r="AF20" s="87">
        <f t="shared" si="69"/>
        <v>-2</v>
      </c>
      <c r="AG20" s="85">
        <f t="shared" si="70"/>
        <v>0</v>
      </c>
      <c r="AH20" s="85">
        <f t="shared" si="71"/>
        <v>8</v>
      </c>
      <c r="AI20" s="85">
        <f t="shared" si="72"/>
        <v>0</v>
      </c>
      <c r="AJ20" s="85"/>
      <c r="AK20" s="88">
        <f t="shared" ref="AK20:AK22" si="74">SUM((AJ13:AJ20),(T13:T20))</f>
        <v>48</v>
      </c>
    </row>
    <row r="21" spans="1:44" ht="15.75" customHeight="1" x14ac:dyDescent="0.3">
      <c r="A21" s="74">
        <v>13</v>
      </c>
      <c r="B21" s="164" t="s">
        <v>68</v>
      </c>
      <c r="C21" s="165">
        <v>0.33333333333333331</v>
      </c>
      <c r="D21" s="165">
        <v>0.70833333333333337</v>
      </c>
      <c r="E21" s="166">
        <v>4.1666666666666664E-2</v>
      </c>
      <c r="F21" s="167">
        <f t="shared" si="49"/>
        <v>8</v>
      </c>
      <c r="G21" s="36"/>
      <c r="H21" s="168">
        <f>IF(G21="Ja",V21+X21-Z21-Y21,0)</f>
        <v>0</v>
      </c>
      <c r="I21" s="169">
        <f t="shared" si="50"/>
        <v>0</v>
      </c>
      <c r="J21" s="170"/>
      <c r="K21" s="171" t="str">
        <f t="shared" si="73"/>
        <v>-</v>
      </c>
      <c r="L21" s="170">
        <f t="shared" si="51"/>
        <v>0</v>
      </c>
      <c r="M21" s="172">
        <f t="shared" si="52"/>
        <v>0</v>
      </c>
      <c r="N21" s="173"/>
      <c r="O21" s="92"/>
      <c r="P21" s="80">
        <f t="shared" si="53"/>
        <v>0.33333333333333337</v>
      </c>
      <c r="Q21" s="81">
        <f t="shared" si="54"/>
        <v>8</v>
      </c>
      <c r="R21" s="82">
        <f t="shared" si="55"/>
        <v>0</v>
      </c>
      <c r="S21" s="83">
        <f t="shared" si="56"/>
        <v>0</v>
      </c>
      <c r="T21" s="82">
        <f t="shared" si="57"/>
        <v>8</v>
      </c>
      <c r="U21" s="84">
        <f t="shared" si="58"/>
        <v>0</v>
      </c>
      <c r="V21" s="82">
        <f t="shared" si="59"/>
        <v>0</v>
      </c>
      <c r="W21" s="82">
        <f t="shared" si="60"/>
        <v>0</v>
      </c>
      <c r="X21" s="83">
        <f t="shared" si="61"/>
        <v>0</v>
      </c>
      <c r="Y21" s="85">
        <f t="shared" si="62"/>
        <v>0</v>
      </c>
      <c r="Z21" s="85">
        <f t="shared" si="63"/>
        <v>0</v>
      </c>
      <c r="AA21" s="85">
        <f t="shared" si="64"/>
        <v>17</v>
      </c>
      <c r="AB21" s="85">
        <f t="shared" si="65"/>
        <v>0</v>
      </c>
      <c r="AC21" s="85">
        <f t="shared" si="66"/>
        <v>0</v>
      </c>
      <c r="AD21" s="86">
        <f t="shared" si="67"/>
        <v>8</v>
      </c>
      <c r="AE21" s="87">
        <f t="shared" si="68"/>
        <v>-2</v>
      </c>
      <c r="AF21" s="87">
        <f t="shared" si="69"/>
        <v>-2</v>
      </c>
      <c r="AG21" s="85">
        <f t="shared" si="70"/>
        <v>0</v>
      </c>
      <c r="AH21" s="85">
        <f t="shared" si="71"/>
        <v>8</v>
      </c>
      <c r="AI21" s="85">
        <f t="shared" si="72"/>
        <v>0</v>
      </c>
      <c r="AJ21" s="85"/>
      <c r="AK21" s="88">
        <f t="shared" si="74"/>
        <v>48</v>
      </c>
    </row>
    <row r="22" spans="1:44" ht="15.75" customHeight="1" x14ac:dyDescent="0.3">
      <c r="A22" s="74">
        <v>14</v>
      </c>
      <c r="B22" s="164" t="s">
        <v>63</v>
      </c>
      <c r="C22" s="165">
        <v>0.33333333333333331</v>
      </c>
      <c r="D22" s="165">
        <v>0.70833333333333337</v>
      </c>
      <c r="E22" s="166">
        <v>4.1666666666666664E-2</v>
      </c>
      <c r="F22" s="167">
        <f t="shared" si="49"/>
        <v>8</v>
      </c>
      <c r="G22" s="36"/>
      <c r="H22" s="168">
        <f>IF(G22="Ja",V22+X22-Z22-Y22,0)</f>
        <v>0</v>
      </c>
      <c r="I22" s="169">
        <f t="shared" si="50"/>
        <v>0</v>
      </c>
      <c r="J22" s="170"/>
      <c r="K22" s="171" t="str">
        <f t="shared" si="73"/>
        <v>-</v>
      </c>
      <c r="L22" s="170">
        <f t="shared" si="51"/>
        <v>0</v>
      </c>
      <c r="M22" s="172">
        <f t="shared" si="52"/>
        <v>0</v>
      </c>
      <c r="N22" s="173"/>
      <c r="O22" s="92"/>
      <c r="P22" s="80">
        <f t="shared" si="53"/>
        <v>0.33333333333333337</v>
      </c>
      <c r="Q22" s="81">
        <f t="shared" si="54"/>
        <v>8</v>
      </c>
      <c r="R22" s="82">
        <f t="shared" si="55"/>
        <v>0</v>
      </c>
      <c r="S22" s="83">
        <f t="shared" si="56"/>
        <v>0</v>
      </c>
      <c r="T22" s="82">
        <f t="shared" si="57"/>
        <v>8</v>
      </c>
      <c r="U22" s="84">
        <f t="shared" si="58"/>
        <v>0</v>
      </c>
      <c r="V22" s="82">
        <f t="shared" si="59"/>
        <v>0</v>
      </c>
      <c r="W22" s="82">
        <f t="shared" si="60"/>
        <v>0</v>
      </c>
      <c r="X22" s="83">
        <f t="shared" si="61"/>
        <v>0</v>
      </c>
      <c r="Y22" s="85">
        <f t="shared" si="62"/>
        <v>0</v>
      </c>
      <c r="Z22" s="85">
        <f t="shared" si="63"/>
        <v>0</v>
      </c>
      <c r="AA22" s="85">
        <f t="shared" si="64"/>
        <v>17</v>
      </c>
      <c r="AB22" s="85">
        <f t="shared" si="65"/>
        <v>0</v>
      </c>
      <c r="AC22" s="85">
        <f t="shared" si="66"/>
        <v>0</v>
      </c>
      <c r="AD22" s="86">
        <f t="shared" si="67"/>
        <v>8</v>
      </c>
      <c r="AE22" s="87">
        <f t="shared" si="68"/>
        <v>-2</v>
      </c>
      <c r="AF22" s="87">
        <f t="shared" si="69"/>
        <v>-2</v>
      </c>
      <c r="AG22" s="85">
        <f t="shared" si="70"/>
        <v>0</v>
      </c>
      <c r="AH22" s="85">
        <f t="shared" si="71"/>
        <v>8</v>
      </c>
      <c r="AI22" s="85">
        <f t="shared" si="72"/>
        <v>0</v>
      </c>
      <c r="AJ22" s="85"/>
      <c r="AK22" s="88">
        <f t="shared" si="74"/>
        <v>48</v>
      </c>
    </row>
    <row r="23" spans="1:44" ht="15.75" customHeight="1" x14ac:dyDescent="0.3">
      <c r="A23" s="74">
        <v>15</v>
      </c>
      <c r="B23" s="164" t="s">
        <v>64</v>
      </c>
      <c r="C23" s="165">
        <v>0.33333333333333331</v>
      </c>
      <c r="D23" s="165">
        <v>0.70833333333333337</v>
      </c>
      <c r="E23" s="166">
        <v>4.1666666666666664E-2</v>
      </c>
      <c r="F23" s="167">
        <f t="shared" si="49"/>
        <v>8</v>
      </c>
      <c r="G23" s="36"/>
      <c r="H23" s="168">
        <f>IF(G23="Ja",V23+X23-Z23-Y23,0)</f>
        <v>0</v>
      </c>
      <c r="I23" s="169">
        <f t="shared" si="50"/>
        <v>0</v>
      </c>
      <c r="J23" s="170"/>
      <c r="K23" s="171" t="str">
        <f t="shared" si="73"/>
        <v>-</v>
      </c>
      <c r="L23" s="170">
        <f t="shared" si="51"/>
        <v>0</v>
      </c>
      <c r="M23" s="172">
        <f t="shared" si="52"/>
        <v>0</v>
      </c>
      <c r="N23" s="173"/>
      <c r="O23" s="92"/>
      <c r="P23" s="80">
        <f t="shared" si="53"/>
        <v>0.33333333333333337</v>
      </c>
      <c r="Q23" s="81">
        <f t="shared" si="54"/>
        <v>8</v>
      </c>
      <c r="R23" s="82">
        <f t="shared" si="55"/>
        <v>0</v>
      </c>
      <c r="S23" s="83">
        <f t="shared" si="56"/>
        <v>0</v>
      </c>
      <c r="T23" s="82">
        <f t="shared" si="57"/>
        <v>8</v>
      </c>
      <c r="U23" s="84">
        <f t="shared" si="58"/>
        <v>0</v>
      </c>
      <c r="V23" s="82">
        <f t="shared" si="59"/>
        <v>0</v>
      </c>
      <c r="W23" s="82">
        <f t="shared" si="60"/>
        <v>0</v>
      </c>
      <c r="X23" s="83">
        <f t="shared" si="61"/>
        <v>0</v>
      </c>
      <c r="Y23" s="85">
        <f t="shared" si="62"/>
        <v>0</v>
      </c>
      <c r="Z23" s="85">
        <f t="shared" si="63"/>
        <v>0</v>
      </c>
      <c r="AA23" s="85">
        <f t="shared" si="64"/>
        <v>17</v>
      </c>
      <c r="AB23" s="85">
        <f t="shared" si="65"/>
        <v>0</v>
      </c>
      <c r="AC23" s="85">
        <f t="shared" si="66"/>
        <v>0</v>
      </c>
      <c r="AD23" s="86">
        <f t="shared" si="67"/>
        <v>8</v>
      </c>
      <c r="AE23" s="87">
        <f t="shared" si="68"/>
        <v>-2</v>
      </c>
      <c r="AF23" s="87">
        <f t="shared" si="69"/>
        <v>-2</v>
      </c>
      <c r="AG23" s="85">
        <f t="shared" si="70"/>
        <v>0</v>
      </c>
      <c r="AH23" s="85">
        <f t="shared" si="71"/>
        <v>8</v>
      </c>
      <c r="AI23" s="85">
        <f t="shared" si="72"/>
        <v>0</v>
      </c>
      <c r="AJ23" s="85"/>
      <c r="AK23" s="88">
        <f>SUM((AJ16:AJ23),(T16:T23))</f>
        <v>48</v>
      </c>
    </row>
    <row r="24" spans="1:44" ht="15.75" customHeight="1" x14ac:dyDescent="0.3">
      <c r="A24" s="74">
        <v>16</v>
      </c>
      <c r="B24" s="164" t="s">
        <v>65</v>
      </c>
      <c r="C24" s="165">
        <v>0.33333333333333331</v>
      </c>
      <c r="D24" s="165">
        <v>0.70833333333333337</v>
      </c>
      <c r="E24" s="166">
        <v>4.1666666666666664E-2</v>
      </c>
      <c r="F24" s="167">
        <f t="shared" si="49"/>
        <v>8</v>
      </c>
      <c r="G24" s="36"/>
      <c r="H24" s="168">
        <f>IF(G24="Ja",V24+X24-Z24-Y24,0)</f>
        <v>0</v>
      </c>
      <c r="I24" s="169">
        <f t="shared" si="50"/>
        <v>0</v>
      </c>
      <c r="J24" s="170"/>
      <c r="K24" s="171" t="str">
        <f t="shared" si="73"/>
        <v>-</v>
      </c>
      <c r="L24" s="170">
        <f t="shared" si="51"/>
        <v>0</v>
      </c>
      <c r="M24" s="172">
        <f t="shared" si="52"/>
        <v>0</v>
      </c>
      <c r="N24" s="173"/>
      <c r="O24" s="92"/>
      <c r="P24" s="80">
        <f t="shared" si="53"/>
        <v>0.33333333333333337</v>
      </c>
      <c r="Q24" s="81">
        <f t="shared" si="54"/>
        <v>8</v>
      </c>
      <c r="R24" s="82">
        <f t="shared" si="55"/>
        <v>0</v>
      </c>
      <c r="S24" s="83">
        <f t="shared" si="56"/>
        <v>0</v>
      </c>
      <c r="T24" s="82">
        <f t="shared" si="57"/>
        <v>8</v>
      </c>
      <c r="U24" s="84">
        <f t="shared" si="58"/>
        <v>0</v>
      </c>
      <c r="V24" s="82">
        <f t="shared" si="59"/>
        <v>0</v>
      </c>
      <c r="W24" s="82">
        <f t="shared" si="60"/>
        <v>0</v>
      </c>
      <c r="X24" s="83">
        <f t="shared" si="61"/>
        <v>0</v>
      </c>
      <c r="Y24" s="85">
        <f t="shared" si="62"/>
        <v>0</v>
      </c>
      <c r="Z24" s="85">
        <f t="shared" si="63"/>
        <v>0</v>
      </c>
      <c r="AA24" s="85">
        <f t="shared" si="64"/>
        <v>17</v>
      </c>
      <c r="AB24" s="85">
        <f t="shared" si="65"/>
        <v>0</v>
      </c>
      <c r="AC24" s="85">
        <f t="shared" si="66"/>
        <v>0</v>
      </c>
      <c r="AD24" s="86">
        <f t="shared" si="67"/>
        <v>8</v>
      </c>
      <c r="AE24" s="87">
        <f t="shared" si="68"/>
        <v>-2</v>
      </c>
      <c r="AF24" s="87">
        <f t="shared" si="69"/>
        <v>-2</v>
      </c>
      <c r="AG24" s="85">
        <f t="shared" si="70"/>
        <v>0</v>
      </c>
      <c r="AH24" s="85">
        <f t="shared" si="71"/>
        <v>8</v>
      </c>
      <c r="AI24" s="85">
        <f t="shared" si="72"/>
        <v>0</v>
      </c>
      <c r="AJ24" s="85"/>
      <c r="AK24" s="88">
        <f>SUM((AJ11:AJ24),(T11:T24))</f>
        <v>80</v>
      </c>
    </row>
    <row r="25" spans="1:44" ht="15.75" customHeight="1" x14ac:dyDescent="0.3">
      <c r="A25" s="74">
        <v>17</v>
      </c>
      <c r="B25" s="75" t="s">
        <v>83</v>
      </c>
      <c r="C25" s="29"/>
      <c r="D25" s="29"/>
      <c r="E25" s="32"/>
      <c r="F25" s="76">
        <f t="shared" ref="F25:F31" si="75">IF(AND(G25="ja",OR(B25 = "lör",B25 = "sön")),0,IF(AND(G25="ja",T25&gt;=8.5),8,T25))</f>
        <v>0</v>
      </c>
      <c r="G25" s="30"/>
      <c r="H25" s="77"/>
      <c r="I25" s="90">
        <f t="shared" ref="I25:I31" si="76">IF(G25 = "ja",IF(OR(B25="lör",B25="sön"),T25,Z25+Y25),0)</f>
        <v>0</v>
      </c>
      <c r="J25" s="78"/>
      <c r="K25" s="31"/>
      <c r="L25" s="78">
        <f t="shared" ref="L25:L31" si="77">IF(K25="SJ",8-F25,IF(K25="SE",8-F25,IF(K25="OS",8-F25,IF(K25="TL",8-F25,IF(K25="PL",8-F25,IF(K25="VB",8-F25,IF(K25="FL",8-F25,IF(K25="PE",8-F25,0))))))))</f>
        <v>0</v>
      </c>
      <c r="M25" s="79">
        <f t="shared" ref="M25:M31" si="78">IF(F25&lt;8,8-F25,0)</f>
        <v>8</v>
      </c>
      <c r="N25" s="33"/>
      <c r="O25" s="89"/>
      <c r="P25" s="80">
        <f t="shared" ref="P25:P31" si="79">D25-C25-E25</f>
        <v>0</v>
      </c>
      <c r="Q25" s="81">
        <f t="shared" ref="Q25:Q31" si="80">HOUR(P25)</f>
        <v>0</v>
      </c>
      <c r="R25" s="82">
        <f t="shared" ref="R25:R31" si="81">MINUTE(P25)</f>
        <v>0</v>
      </c>
      <c r="S25" s="83">
        <f t="shared" ref="S25:S31" si="82">R25/60</f>
        <v>0</v>
      </c>
      <c r="T25" s="82">
        <f t="shared" ref="T25:T31" si="83">Q25+S25</f>
        <v>0</v>
      </c>
      <c r="U25" s="84">
        <f t="shared" ref="U25:U31" si="84">IF(AND(G25="Ja",F25&gt;=8),T25-8,0)</f>
        <v>0</v>
      </c>
      <c r="V25" s="82">
        <f t="shared" ref="V25:V31" si="85">TRUNC(U25,0)</f>
        <v>0</v>
      </c>
      <c r="W25" s="82">
        <f t="shared" ref="W25:W31" si="86">U25-V25</f>
        <v>0</v>
      </c>
      <c r="X25" s="83">
        <f t="shared" ref="X25:X31" si="87">IF(W25&gt;=0.5,0.5,0)</f>
        <v>0</v>
      </c>
      <c r="Y25" s="85">
        <f t="shared" ref="Y25:Y31" si="88">IF(HOUR(C25)&lt;6,(AF25)+(AG25),0)</f>
        <v>6</v>
      </c>
      <c r="Z25" s="85">
        <f t="shared" ref="Z25:Z31" si="89">IF(AA25&gt;=20,AA25-20+(AB25),0)</f>
        <v>4</v>
      </c>
      <c r="AA25" s="85">
        <f t="shared" ref="AA25:AA31" si="90">IF(HOUR(D25)=0,24,HOUR(D25))</f>
        <v>24</v>
      </c>
      <c r="AB25" s="85">
        <f t="shared" ref="AB25:AB31" si="91">IF(AND(HOUR(D25)&gt;=20,MINUTE(D25)&gt;=30),0.5,0)</f>
        <v>0</v>
      </c>
      <c r="AC25" s="85">
        <f t="shared" ref="AC25:AC31" si="92">IF(AND(HOUR(C25)&lt;6,MINUTE(C25)&lt;=30),0.5,0)</f>
        <v>0.5</v>
      </c>
      <c r="AD25" s="86">
        <f t="shared" ref="AD25:AD31" si="93">HOUR(C25)+MINUTE(C25)/60</f>
        <v>0</v>
      </c>
      <c r="AE25" s="87">
        <f t="shared" ref="AE25:AE31" si="94">(AD25-6)*(-1)</f>
        <v>6</v>
      </c>
      <c r="AF25" s="87">
        <f t="shared" ref="AF25:AF31" si="95">TRUNC(AE25)</f>
        <v>6</v>
      </c>
      <c r="AG25" s="85">
        <f t="shared" ref="AG25:AG31" si="96">IF(AE25-AF25&gt;=0.5,0.5,0)</f>
        <v>0</v>
      </c>
      <c r="AH25" s="85">
        <f t="shared" ref="AH25:AH31" si="97">IF(T25-TRUNC(T25)&gt;=0.5,TRUNC(T25)+0.5,TRUNC(T25))</f>
        <v>0</v>
      </c>
      <c r="AI25" s="85">
        <f t="shared" ref="AI25:AI31" si="98">IF(U25-TRUNC(U25)&gt;=0.5,TRUNC(U25)+0.5,TRUNC(U25))</f>
        <v>0</v>
      </c>
      <c r="AJ25" s="85"/>
      <c r="AK25" s="88">
        <f>SUM((AJ20:AJ115),(T20:T115))</f>
        <v>112</v>
      </c>
      <c r="AR25" s="73" t="s">
        <v>84</v>
      </c>
    </row>
    <row r="26" spans="1:44" ht="15.75" customHeight="1" thickBot="1" x14ac:dyDescent="0.35">
      <c r="A26" s="74">
        <v>18</v>
      </c>
      <c r="B26" s="75" t="s">
        <v>66</v>
      </c>
      <c r="C26" s="29"/>
      <c r="D26" s="29"/>
      <c r="E26" s="32"/>
      <c r="F26" s="76">
        <f t="shared" si="75"/>
        <v>0</v>
      </c>
      <c r="G26" s="30"/>
      <c r="H26" s="77"/>
      <c r="I26" s="90">
        <f t="shared" si="76"/>
        <v>0</v>
      </c>
      <c r="J26" s="78"/>
      <c r="K26" s="31"/>
      <c r="L26" s="78">
        <f t="shared" si="77"/>
        <v>0</v>
      </c>
      <c r="M26" s="79">
        <f t="shared" si="78"/>
        <v>8</v>
      </c>
      <c r="N26" s="33"/>
      <c r="O26" s="91">
        <f>SUM(F20,F21,F22,F23,F24,F25,F26,H20,H21,H22,H23,H24,I20,I21,I22,I23,I24,I25,I26)</f>
        <v>40</v>
      </c>
      <c r="P26" s="80">
        <f t="shared" si="79"/>
        <v>0</v>
      </c>
      <c r="Q26" s="81">
        <f t="shared" si="80"/>
        <v>0</v>
      </c>
      <c r="R26" s="82">
        <f t="shared" si="81"/>
        <v>0</v>
      </c>
      <c r="S26" s="83">
        <f t="shared" si="82"/>
        <v>0</v>
      </c>
      <c r="T26" s="82">
        <f t="shared" si="83"/>
        <v>0</v>
      </c>
      <c r="U26" s="84">
        <f t="shared" si="84"/>
        <v>0</v>
      </c>
      <c r="V26" s="82">
        <f t="shared" si="85"/>
        <v>0</v>
      </c>
      <c r="W26" s="82">
        <f t="shared" si="86"/>
        <v>0</v>
      </c>
      <c r="X26" s="83">
        <f t="shared" si="87"/>
        <v>0</v>
      </c>
      <c r="Y26" s="85">
        <f t="shared" si="88"/>
        <v>6</v>
      </c>
      <c r="Z26" s="85">
        <f t="shared" si="89"/>
        <v>4</v>
      </c>
      <c r="AA26" s="85">
        <f t="shared" si="90"/>
        <v>24</v>
      </c>
      <c r="AB26" s="85">
        <f t="shared" si="91"/>
        <v>0</v>
      </c>
      <c r="AC26" s="85">
        <f t="shared" si="92"/>
        <v>0.5</v>
      </c>
      <c r="AD26" s="86">
        <f t="shared" si="93"/>
        <v>0</v>
      </c>
      <c r="AE26" s="87">
        <f t="shared" si="94"/>
        <v>6</v>
      </c>
      <c r="AF26" s="87">
        <f t="shared" si="95"/>
        <v>6</v>
      </c>
      <c r="AG26" s="85">
        <f t="shared" si="96"/>
        <v>0</v>
      </c>
      <c r="AH26" s="85">
        <f t="shared" si="97"/>
        <v>0</v>
      </c>
      <c r="AI26" s="85">
        <f t="shared" si="98"/>
        <v>0</v>
      </c>
      <c r="AJ26" s="85"/>
      <c r="AK26" s="88">
        <f>SUM((AJ21:AJ116),(T21:T116))</f>
        <v>104</v>
      </c>
      <c r="AR26" s="73" t="s">
        <v>84</v>
      </c>
    </row>
    <row r="27" spans="1:44" ht="15.75" customHeight="1" x14ac:dyDescent="0.3">
      <c r="A27" s="74">
        <v>19</v>
      </c>
      <c r="B27" s="164" t="s">
        <v>67</v>
      </c>
      <c r="C27" s="165">
        <v>0.33333333333333331</v>
      </c>
      <c r="D27" s="165">
        <v>0.70833333333333337</v>
      </c>
      <c r="E27" s="166">
        <v>4.1666666666666664E-2</v>
      </c>
      <c r="F27" s="167">
        <f t="shared" si="75"/>
        <v>8</v>
      </c>
      <c r="G27" s="36"/>
      <c r="H27" s="168">
        <f>IF(G27="Ja",V27+X27-Z27-Y27,0)</f>
        <v>0</v>
      </c>
      <c r="I27" s="169">
        <f t="shared" si="76"/>
        <v>0</v>
      </c>
      <c r="J27" s="170"/>
      <c r="K27" s="171" t="str">
        <f t="shared" ref="K27:K31" si="99">IF(M27&gt;0,"Orsak?","-")</f>
        <v>-</v>
      </c>
      <c r="L27" s="170">
        <f t="shared" si="77"/>
        <v>0</v>
      </c>
      <c r="M27" s="172">
        <f t="shared" si="78"/>
        <v>0</v>
      </c>
      <c r="N27" s="173"/>
      <c r="O27" s="163" t="s">
        <v>106</v>
      </c>
      <c r="P27" s="80">
        <f t="shared" si="79"/>
        <v>0.33333333333333337</v>
      </c>
      <c r="Q27" s="81">
        <f t="shared" si="80"/>
        <v>8</v>
      </c>
      <c r="R27" s="82">
        <f t="shared" si="81"/>
        <v>0</v>
      </c>
      <c r="S27" s="83">
        <f t="shared" si="82"/>
        <v>0</v>
      </c>
      <c r="T27" s="82">
        <f t="shared" si="83"/>
        <v>8</v>
      </c>
      <c r="U27" s="84">
        <f t="shared" si="84"/>
        <v>0</v>
      </c>
      <c r="V27" s="82">
        <f t="shared" si="85"/>
        <v>0</v>
      </c>
      <c r="W27" s="82">
        <f t="shared" si="86"/>
        <v>0</v>
      </c>
      <c r="X27" s="83">
        <f t="shared" si="87"/>
        <v>0</v>
      </c>
      <c r="Y27" s="85">
        <f t="shared" si="88"/>
        <v>0</v>
      </c>
      <c r="Z27" s="85">
        <f t="shared" si="89"/>
        <v>0</v>
      </c>
      <c r="AA27" s="85">
        <f t="shared" si="90"/>
        <v>17</v>
      </c>
      <c r="AB27" s="85">
        <f t="shared" si="91"/>
        <v>0</v>
      </c>
      <c r="AC27" s="85">
        <f t="shared" si="92"/>
        <v>0</v>
      </c>
      <c r="AD27" s="86">
        <f t="shared" si="93"/>
        <v>8</v>
      </c>
      <c r="AE27" s="87">
        <f t="shared" si="94"/>
        <v>-2</v>
      </c>
      <c r="AF27" s="87">
        <f t="shared" si="95"/>
        <v>-2</v>
      </c>
      <c r="AG27" s="85">
        <f t="shared" si="96"/>
        <v>0</v>
      </c>
      <c r="AH27" s="85">
        <f t="shared" si="97"/>
        <v>8</v>
      </c>
      <c r="AI27" s="85">
        <f t="shared" si="98"/>
        <v>0</v>
      </c>
      <c r="AJ27" s="85"/>
      <c r="AK27" s="88">
        <f t="shared" ref="AK27:AK29" si="100">SUM((AJ20:AJ27),(T20:T27))</f>
        <v>48</v>
      </c>
    </row>
    <row r="28" spans="1:44" ht="15.75" customHeight="1" x14ac:dyDescent="0.3">
      <c r="A28" s="74">
        <v>20</v>
      </c>
      <c r="B28" s="164" t="s">
        <v>68</v>
      </c>
      <c r="C28" s="165">
        <v>0.33333333333333331</v>
      </c>
      <c r="D28" s="165">
        <v>0.70833333333333337</v>
      </c>
      <c r="E28" s="166">
        <v>4.1666666666666664E-2</v>
      </c>
      <c r="F28" s="167">
        <f t="shared" si="75"/>
        <v>8</v>
      </c>
      <c r="G28" s="36"/>
      <c r="H28" s="168">
        <f>IF(G28="Ja",V28+X28-Z28-Y28,0)</f>
        <v>0</v>
      </c>
      <c r="I28" s="169">
        <f t="shared" si="76"/>
        <v>0</v>
      </c>
      <c r="J28" s="170"/>
      <c r="K28" s="171" t="str">
        <f t="shared" si="99"/>
        <v>-</v>
      </c>
      <c r="L28" s="170">
        <f t="shared" si="77"/>
        <v>0</v>
      </c>
      <c r="M28" s="172">
        <f t="shared" si="78"/>
        <v>0</v>
      </c>
      <c r="N28" s="173"/>
      <c r="O28" s="92"/>
      <c r="P28" s="80">
        <f t="shared" si="79"/>
        <v>0.33333333333333337</v>
      </c>
      <c r="Q28" s="81">
        <f t="shared" si="80"/>
        <v>8</v>
      </c>
      <c r="R28" s="82">
        <f t="shared" si="81"/>
        <v>0</v>
      </c>
      <c r="S28" s="83">
        <f t="shared" si="82"/>
        <v>0</v>
      </c>
      <c r="T28" s="82">
        <f t="shared" si="83"/>
        <v>8</v>
      </c>
      <c r="U28" s="84">
        <f t="shared" si="84"/>
        <v>0</v>
      </c>
      <c r="V28" s="82">
        <f t="shared" si="85"/>
        <v>0</v>
      </c>
      <c r="W28" s="82">
        <f t="shared" si="86"/>
        <v>0</v>
      </c>
      <c r="X28" s="83">
        <f t="shared" si="87"/>
        <v>0</v>
      </c>
      <c r="Y28" s="85">
        <f t="shared" si="88"/>
        <v>0</v>
      </c>
      <c r="Z28" s="85">
        <f t="shared" si="89"/>
        <v>0</v>
      </c>
      <c r="AA28" s="85">
        <f t="shared" si="90"/>
        <v>17</v>
      </c>
      <c r="AB28" s="85">
        <f t="shared" si="91"/>
        <v>0</v>
      </c>
      <c r="AC28" s="85">
        <f t="shared" si="92"/>
        <v>0</v>
      </c>
      <c r="AD28" s="86">
        <f t="shared" si="93"/>
        <v>8</v>
      </c>
      <c r="AE28" s="87">
        <f t="shared" si="94"/>
        <v>-2</v>
      </c>
      <c r="AF28" s="87">
        <f t="shared" si="95"/>
        <v>-2</v>
      </c>
      <c r="AG28" s="85">
        <f t="shared" si="96"/>
        <v>0</v>
      </c>
      <c r="AH28" s="85">
        <f t="shared" si="97"/>
        <v>8</v>
      </c>
      <c r="AI28" s="85">
        <f t="shared" si="98"/>
        <v>0</v>
      </c>
      <c r="AJ28" s="85"/>
      <c r="AK28" s="88">
        <f t="shared" si="100"/>
        <v>48</v>
      </c>
    </row>
    <row r="29" spans="1:44" ht="15.75" customHeight="1" x14ac:dyDescent="0.3">
      <c r="A29" s="74">
        <v>21</v>
      </c>
      <c r="B29" s="164" t="s">
        <v>63</v>
      </c>
      <c r="C29" s="165">
        <v>0.33333333333333331</v>
      </c>
      <c r="D29" s="165">
        <v>0.70833333333333337</v>
      </c>
      <c r="E29" s="166">
        <v>4.1666666666666664E-2</v>
      </c>
      <c r="F29" s="167">
        <f t="shared" si="75"/>
        <v>8</v>
      </c>
      <c r="G29" s="36"/>
      <c r="H29" s="168">
        <f>IF(G29="Ja",V29+X29-Z29-Y29,0)</f>
        <v>0</v>
      </c>
      <c r="I29" s="169">
        <f t="shared" si="76"/>
        <v>0</v>
      </c>
      <c r="J29" s="170"/>
      <c r="K29" s="171" t="str">
        <f t="shared" si="99"/>
        <v>-</v>
      </c>
      <c r="L29" s="170">
        <f t="shared" si="77"/>
        <v>0</v>
      </c>
      <c r="M29" s="172">
        <f t="shared" si="78"/>
        <v>0</v>
      </c>
      <c r="N29" s="173"/>
      <c r="O29" s="92"/>
      <c r="P29" s="80">
        <f t="shared" si="79"/>
        <v>0.33333333333333337</v>
      </c>
      <c r="Q29" s="81">
        <f t="shared" si="80"/>
        <v>8</v>
      </c>
      <c r="R29" s="82">
        <f t="shared" si="81"/>
        <v>0</v>
      </c>
      <c r="S29" s="83">
        <f t="shared" si="82"/>
        <v>0</v>
      </c>
      <c r="T29" s="82">
        <f t="shared" si="83"/>
        <v>8</v>
      </c>
      <c r="U29" s="84">
        <f t="shared" si="84"/>
        <v>0</v>
      </c>
      <c r="V29" s="82">
        <f t="shared" si="85"/>
        <v>0</v>
      </c>
      <c r="W29" s="82">
        <f t="shared" si="86"/>
        <v>0</v>
      </c>
      <c r="X29" s="83">
        <f t="shared" si="87"/>
        <v>0</v>
      </c>
      <c r="Y29" s="85">
        <f t="shared" si="88"/>
        <v>0</v>
      </c>
      <c r="Z29" s="85">
        <f t="shared" si="89"/>
        <v>0</v>
      </c>
      <c r="AA29" s="85">
        <f t="shared" si="90"/>
        <v>17</v>
      </c>
      <c r="AB29" s="85">
        <f t="shared" si="91"/>
        <v>0</v>
      </c>
      <c r="AC29" s="85">
        <f t="shared" si="92"/>
        <v>0</v>
      </c>
      <c r="AD29" s="86">
        <f t="shared" si="93"/>
        <v>8</v>
      </c>
      <c r="AE29" s="87">
        <f t="shared" si="94"/>
        <v>-2</v>
      </c>
      <c r="AF29" s="87">
        <f t="shared" si="95"/>
        <v>-2</v>
      </c>
      <c r="AG29" s="85">
        <f t="shared" si="96"/>
        <v>0</v>
      </c>
      <c r="AH29" s="85">
        <f t="shared" si="97"/>
        <v>8</v>
      </c>
      <c r="AI29" s="85">
        <f t="shared" si="98"/>
        <v>0</v>
      </c>
      <c r="AJ29" s="85"/>
      <c r="AK29" s="88">
        <f t="shared" si="100"/>
        <v>48</v>
      </c>
    </row>
    <row r="30" spans="1:44" ht="15.75" customHeight="1" x14ac:dyDescent="0.3">
      <c r="A30" s="74">
        <v>22</v>
      </c>
      <c r="B30" s="164" t="s">
        <v>64</v>
      </c>
      <c r="C30" s="165">
        <v>0.33333333333333331</v>
      </c>
      <c r="D30" s="165">
        <v>0.70833333333333337</v>
      </c>
      <c r="E30" s="166">
        <v>4.1666666666666664E-2</v>
      </c>
      <c r="F30" s="167">
        <f t="shared" si="75"/>
        <v>8</v>
      </c>
      <c r="G30" s="36"/>
      <c r="H30" s="168">
        <f>IF(G30="Ja",V30+X30-Z30-Y30,0)</f>
        <v>0</v>
      </c>
      <c r="I30" s="169">
        <f t="shared" si="76"/>
        <v>0</v>
      </c>
      <c r="J30" s="170"/>
      <c r="K30" s="171" t="str">
        <f t="shared" si="99"/>
        <v>-</v>
      </c>
      <c r="L30" s="170">
        <f t="shared" si="77"/>
        <v>0</v>
      </c>
      <c r="M30" s="172">
        <f t="shared" si="78"/>
        <v>0</v>
      </c>
      <c r="N30" s="173"/>
      <c r="O30" s="92"/>
      <c r="P30" s="80">
        <f t="shared" si="79"/>
        <v>0.33333333333333337</v>
      </c>
      <c r="Q30" s="81">
        <f t="shared" si="80"/>
        <v>8</v>
      </c>
      <c r="R30" s="82">
        <f t="shared" si="81"/>
        <v>0</v>
      </c>
      <c r="S30" s="83">
        <f t="shared" si="82"/>
        <v>0</v>
      </c>
      <c r="T30" s="82">
        <f t="shared" si="83"/>
        <v>8</v>
      </c>
      <c r="U30" s="84">
        <f t="shared" si="84"/>
        <v>0</v>
      </c>
      <c r="V30" s="82">
        <f t="shared" si="85"/>
        <v>0</v>
      </c>
      <c r="W30" s="82">
        <f t="shared" si="86"/>
        <v>0</v>
      </c>
      <c r="X30" s="83">
        <f t="shared" si="87"/>
        <v>0</v>
      </c>
      <c r="Y30" s="85">
        <f t="shared" si="88"/>
        <v>0</v>
      </c>
      <c r="Z30" s="85">
        <f t="shared" si="89"/>
        <v>0</v>
      </c>
      <c r="AA30" s="85">
        <f t="shared" si="90"/>
        <v>17</v>
      </c>
      <c r="AB30" s="85">
        <f t="shared" si="91"/>
        <v>0</v>
      </c>
      <c r="AC30" s="85">
        <f t="shared" si="92"/>
        <v>0</v>
      </c>
      <c r="AD30" s="86">
        <f t="shared" si="93"/>
        <v>8</v>
      </c>
      <c r="AE30" s="87">
        <f t="shared" si="94"/>
        <v>-2</v>
      </c>
      <c r="AF30" s="87">
        <f t="shared" si="95"/>
        <v>-2</v>
      </c>
      <c r="AG30" s="85">
        <f t="shared" si="96"/>
        <v>0</v>
      </c>
      <c r="AH30" s="85">
        <f t="shared" si="97"/>
        <v>8</v>
      </c>
      <c r="AI30" s="85">
        <f t="shared" si="98"/>
        <v>0</v>
      </c>
      <c r="AJ30" s="85"/>
      <c r="AK30" s="88">
        <f>SUM((AJ23:AJ30),(T23:T30))</f>
        <v>48</v>
      </c>
    </row>
    <row r="31" spans="1:44" ht="15.75" customHeight="1" x14ac:dyDescent="0.3">
      <c r="A31" s="74">
        <v>23</v>
      </c>
      <c r="B31" s="164" t="s">
        <v>65</v>
      </c>
      <c r="C31" s="165">
        <v>0.33333333333333331</v>
      </c>
      <c r="D31" s="165">
        <v>0.70833333333333337</v>
      </c>
      <c r="E31" s="166">
        <v>4.1666666666666664E-2</v>
      </c>
      <c r="F31" s="167">
        <f t="shared" si="75"/>
        <v>8</v>
      </c>
      <c r="G31" s="36"/>
      <c r="H31" s="168">
        <f>IF(G31="Ja",V31+X31-Z31-Y31,0)</f>
        <v>0</v>
      </c>
      <c r="I31" s="169">
        <f t="shared" si="76"/>
        <v>0</v>
      </c>
      <c r="J31" s="170"/>
      <c r="K31" s="171" t="str">
        <f t="shared" si="99"/>
        <v>-</v>
      </c>
      <c r="L31" s="170">
        <f t="shared" si="77"/>
        <v>0</v>
      </c>
      <c r="M31" s="172">
        <f t="shared" si="78"/>
        <v>0</v>
      </c>
      <c r="N31" s="173"/>
      <c r="O31" s="92"/>
      <c r="P31" s="80">
        <f t="shared" si="79"/>
        <v>0.33333333333333337</v>
      </c>
      <c r="Q31" s="81">
        <f t="shared" si="80"/>
        <v>8</v>
      </c>
      <c r="R31" s="82">
        <f t="shared" si="81"/>
        <v>0</v>
      </c>
      <c r="S31" s="83">
        <f t="shared" si="82"/>
        <v>0</v>
      </c>
      <c r="T31" s="82">
        <f t="shared" si="83"/>
        <v>8</v>
      </c>
      <c r="U31" s="84">
        <f t="shared" si="84"/>
        <v>0</v>
      </c>
      <c r="V31" s="82">
        <f t="shared" si="85"/>
        <v>0</v>
      </c>
      <c r="W31" s="82">
        <f t="shared" si="86"/>
        <v>0</v>
      </c>
      <c r="X31" s="83">
        <f t="shared" si="87"/>
        <v>0</v>
      </c>
      <c r="Y31" s="85">
        <f t="shared" si="88"/>
        <v>0</v>
      </c>
      <c r="Z31" s="85">
        <f t="shared" si="89"/>
        <v>0</v>
      </c>
      <c r="AA31" s="85">
        <f t="shared" si="90"/>
        <v>17</v>
      </c>
      <c r="AB31" s="85">
        <f t="shared" si="91"/>
        <v>0</v>
      </c>
      <c r="AC31" s="85">
        <f t="shared" si="92"/>
        <v>0</v>
      </c>
      <c r="AD31" s="86">
        <f t="shared" si="93"/>
        <v>8</v>
      </c>
      <c r="AE31" s="87">
        <f t="shared" si="94"/>
        <v>-2</v>
      </c>
      <c r="AF31" s="87">
        <f t="shared" si="95"/>
        <v>-2</v>
      </c>
      <c r="AG31" s="85">
        <f t="shared" si="96"/>
        <v>0</v>
      </c>
      <c r="AH31" s="85">
        <f t="shared" si="97"/>
        <v>8</v>
      </c>
      <c r="AI31" s="85">
        <f t="shared" si="98"/>
        <v>0</v>
      </c>
      <c r="AJ31" s="85"/>
      <c r="AK31" s="88">
        <f>SUM((AJ18:AJ31),(T18:T31))</f>
        <v>80</v>
      </c>
    </row>
    <row r="32" spans="1:44" ht="15.75" customHeight="1" x14ac:dyDescent="0.3">
      <c r="A32" s="74">
        <v>24</v>
      </c>
      <c r="B32" s="75" t="s">
        <v>83</v>
      </c>
      <c r="C32" s="29"/>
      <c r="D32" s="29"/>
      <c r="E32" s="32"/>
      <c r="F32" s="76">
        <f t="shared" ref="F32:F39" si="101">IF(AND(G32="ja",OR(B32 = "lör",B32 = "sön")),0,IF(AND(G32="ja",T32&gt;=8.5),8,T32))</f>
        <v>0</v>
      </c>
      <c r="G32" s="30"/>
      <c r="H32" s="77"/>
      <c r="I32" s="90">
        <f t="shared" ref="I32:I39" si="102">IF(G32 = "ja",IF(OR(B32="lör",B32="sön"),T32,Z32+Y32),0)</f>
        <v>0</v>
      </c>
      <c r="J32" s="78"/>
      <c r="K32" s="31"/>
      <c r="L32" s="78">
        <f t="shared" ref="L32:L39" si="103">IF(K32="SJ",8-F32,IF(K32="SE",8-F32,IF(K32="OS",8-F32,IF(K32="TL",8-F32,IF(K32="PL",8-F32,IF(K32="VB",8-F32,IF(K32="FL",8-F32,IF(K32="PE",8-F32,0))))))))</f>
        <v>0</v>
      </c>
      <c r="M32" s="79">
        <f t="shared" ref="M32:M39" si="104">IF(F32&lt;8,8-F32,0)</f>
        <v>8</v>
      </c>
      <c r="N32" s="33"/>
      <c r="O32" s="89"/>
      <c r="P32" s="80">
        <f t="shared" ref="P32:P39" si="105">D32-C32-E32</f>
        <v>0</v>
      </c>
      <c r="Q32" s="81">
        <f t="shared" ref="Q32:Q39" si="106">HOUR(P32)</f>
        <v>0</v>
      </c>
      <c r="R32" s="82">
        <f t="shared" ref="R32:R39" si="107">MINUTE(P32)</f>
        <v>0</v>
      </c>
      <c r="S32" s="83">
        <f t="shared" ref="S32:S39" si="108">R32/60</f>
        <v>0</v>
      </c>
      <c r="T32" s="82">
        <f t="shared" ref="T32:T39" si="109">Q32+S32</f>
        <v>0</v>
      </c>
      <c r="U32" s="84">
        <f t="shared" ref="U32:U39" si="110">IF(AND(G32="Ja",F32&gt;=8),T32-8,0)</f>
        <v>0</v>
      </c>
      <c r="V32" s="82">
        <f t="shared" ref="V32:V39" si="111">TRUNC(U32,0)</f>
        <v>0</v>
      </c>
      <c r="W32" s="82">
        <f t="shared" ref="W32:W39" si="112">U32-V32</f>
        <v>0</v>
      </c>
      <c r="X32" s="83">
        <f t="shared" ref="X32:X39" si="113">IF(W32&gt;=0.5,0.5,0)</f>
        <v>0</v>
      </c>
      <c r="Y32" s="85">
        <f t="shared" ref="Y32:Y39" si="114">IF(HOUR(C32)&lt;6,(AF32)+(AG32),0)</f>
        <v>6</v>
      </c>
      <c r="Z32" s="85">
        <f t="shared" ref="Z32:Z39" si="115">IF(AA32&gt;=20,AA32-20+(AB32),0)</f>
        <v>4</v>
      </c>
      <c r="AA32" s="85">
        <f t="shared" ref="AA32:AA39" si="116">IF(HOUR(D32)=0,24,HOUR(D32))</f>
        <v>24</v>
      </c>
      <c r="AB32" s="85">
        <f t="shared" ref="AB32:AB39" si="117">IF(AND(HOUR(D32)&gt;=20,MINUTE(D32)&gt;=30),0.5,0)</f>
        <v>0</v>
      </c>
      <c r="AC32" s="85">
        <f t="shared" ref="AC32:AC39" si="118">IF(AND(HOUR(C32)&lt;6,MINUTE(C32)&lt;=30),0.5,0)</f>
        <v>0.5</v>
      </c>
      <c r="AD32" s="86">
        <f t="shared" ref="AD32:AD39" si="119">HOUR(C32)+MINUTE(C32)/60</f>
        <v>0</v>
      </c>
      <c r="AE32" s="87">
        <f t="shared" ref="AE32:AE39" si="120">(AD32-6)*(-1)</f>
        <v>6</v>
      </c>
      <c r="AF32" s="87">
        <f t="shared" ref="AF32:AF39" si="121">TRUNC(AE32)</f>
        <v>6</v>
      </c>
      <c r="AG32" s="85">
        <f t="shared" ref="AG32:AG39" si="122">IF(AE32-AF32&gt;=0.5,0.5,0)</f>
        <v>0</v>
      </c>
      <c r="AH32" s="85">
        <f t="shared" ref="AH32:AH39" si="123">IF(T32-TRUNC(T32)&gt;=0.5,TRUNC(T32)+0.5,TRUNC(T32))</f>
        <v>0</v>
      </c>
      <c r="AI32" s="85">
        <f t="shared" ref="AI32:AI39" si="124">IF(U32-TRUNC(U32)&gt;=0.5,TRUNC(U32)+0.5,TRUNC(U32))</f>
        <v>0</v>
      </c>
      <c r="AJ32" s="85"/>
      <c r="AK32" s="88">
        <f>SUM((AJ27:AJ122),(T27:T122))</f>
        <v>72</v>
      </c>
      <c r="AR32" s="73" t="s">
        <v>84</v>
      </c>
    </row>
    <row r="33" spans="1:44" ht="15.75" customHeight="1" thickBot="1" x14ac:dyDescent="0.35">
      <c r="A33" s="74">
        <v>25</v>
      </c>
      <c r="B33" s="75" t="s">
        <v>66</v>
      </c>
      <c r="C33" s="29"/>
      <c r="D33" s="29"/>
      <c r="E33" s="32"/>
      <c r="F33" s="76">
        <f t="shared" si="101"/>
        <v>0</v>
      </c>
      <c r="G33" s="30"/>
      <c r="H33" s="77"/>
      <c r="I33" s="90">
        <f t="shared" si="102"/>
        <v>0</v>
      </c>
      <c r="J33" s="78"/>
      <c r="K33" s="31"/>
      <c r="L33" s="78">
        <f t="shared" si="103"/>
        <v>0</v>
      </c>
      <c r="M33" s="79">
        <f t="shared" si="104"/>
        <v>8</v>
      </c>
      <c r="N33" s="33"/>
      <c r="O33" s="91">
        <f>SUM(F27,F28,F29,F30,F31,F32,F33,H27,H28,H29,H30,H31,I27,I28,I29,I30,I31,I32,I33)</f>
        <v>40</v>
      </c>
      <c r="P33" s="80">
        <f t="shared" si="105"/>
        <v>0</v>
      </c>
      <c r="Q33" s="81">
        <f t="shared" si="106"/>
        <v>0</v>
      </c>
      <c r="R33" s="82">
        <f t="shared" si="107"/>
        <v>0</v>
      </c>
      <c r="S33" s="83">
        <f t="shared" si="108"/>
        <v>0</v>
      </c>
      <c r="T33" s="82">
        <f t="shared" si="109"/>
        <v>0</v>
      </c>
      <c r="U33" s="84">
        <f t="shared" si="110"/>
        <v>0</v>
      </c>
      <c r="V33" s="82">
        <f t="shared" si="111"/>
        <v>0</v>
      </c>
      <c r="W33" s="82">
        <f t="shared" si="112"/>
        <v>0</v>
      </c>
      <c r="X33" s="83">
        <f t="shared" si="113"/>
        <v>0</v>
      </c>
      <c r="Y33" s="85">
        <f t="shared" si="114"/>
        <v>6</v>
      </c>
      <c r="Z33" s="85">
        <f t="shared" si="115"/>
        <v>4</v>
      </c>
      <c r="AA33" s="85">
        <f t="shared" si="116"/>
        <v>24</v>
      </c>
      <c r="AB33" s="85">
        <f t="shared" si="117"/>
        <v>0</v>
      </c>
      <c r="AC33" s="85">
        <f t="shared" si="118"/>
        <v>0.5</v>
      </c>
      <c r="AD33" s="86">
        <f t="shared" si="119"/>
        <v>0</v>
      </c>
      <c r="AE33" s="87">
        <f t="shared" si="120"/>
        <v>6</v>
      </c>
      <c r="AF33" s="87">
        <f t="shared" si="121"/>
        <v>6</v>
      </c>
      <c r="AG33" s="85">
        <f t="shared" si="122"/>
        <v>0</v>
      </c>
      <c r="AH33" s="85">
        <f t="shared" si="123"/>
        <v>0</v>
      </c>
      <c r="AI33" s="85">
        <f t="shared" si="124"/>
        <v>0</v>
      </c>
      <c r="AJ33" s="85"/>
      <c r="AK33" s="88">
        <f>SUM((AJ28:AJ123),(T28:T123))</f>
        <v>64</v>
      </c>
      <c r="AR33" s="73" t="s">
        <v>84</v>
      </c>
    </row>
    <row r="34" spans="1:44" ht="15.75" customHeight="1" x14ac:dyDescent="0.3">
      <c r="A34" s="74">
        <v>26</v>
      </c>
      <c r="B34" s="164" t="s">
        <v>67</v>
      </c>
      <c r="C34" s="165">
        <v>0.33333333333333331</v>
      </c>
      <c r="D34" s="165">
        <v>0.70833333333333337</v>
      </c>
      <c r="E34" s="166">
        <v>4.1666666666666664E-2</v>
      </c>
      <c r="F34" s="167">
        <f t="shared" si="101"/>
        <v>8</v>
      </c>
      <c r="G34" s="36"/>
      <c r="H34" s="168">
        <f>IF(G34="Ja",V34+X34-Z34-Y34,0)</f>
        <v>0</v>
      </c>
      <c r="I34" s="169">
        <f t="shared" si="102"/>
        <v>0</v>
      </c>
      <c r="J34" s="170"/>
      <c r="K34" s="171" t="str">
        <f t="shared" ref="K34:K37" si="125">IF(M34&gt;0,"Orsak?","-")</f>
        <v>-</v>
      </c>
      <c r="L34" s="170">
        <f t="shared" si="103"/>
        <v>0</v>
      </c>
      <c r="M34" s="172">
        <f t="shared" si="104"/>
        <v>0</v>
      </c>
      <c r="N34" s="173"/>
      <c r="O34" s="163" t="s">
        <v>107</v>
      </c>
      <c r="P34" s="80">
        <f t="shared" si="105"/>
        <v>0.33333333333333337</v>
      </c>
      <c r="Q34" s="81">
        <f t="shared" si="106"/>
        <v>8</v>
      </c>
      <c r="R34" s="82">
        <f t="shared" si="107"/>
        <v>0</v>
      </c>
      <c r="S34" s="83">
        <f t="shared" si="108"/>
        <v>0</v>
      </c>
      <c r="T34" s="82">
        <f t="shared" si="109"/>
        <v>8</v>
      </c>
      <c r="U34" s="84">
        <f t="shared" si="110"/>
        <v>0</v>
      </c>
      <c r="V34" s="82">
        <f t="shared" si="111"/>
        <v>0</v>
      </c>
      <c r="W34" s="82">
        <f t="shared" si="112"/>
        <v>0</v>
      </c>
      <c r="X34" s="83">
        <f t="shared" si="113"/>
        <v>0</v>
      </c>
      <c r="Y34" s="85">
        <f t="shared" si="114"/>
        <v>0</v>
      </c>
      <c r="Z34" s="85">
        <f t="shared" si="115"/>
        <v>0</v>
      </c>
      <c r="AA34" s="85">
        <f t="shared" si="116"/>
        <v>17</v>
      </c>
      <c r="AB34" s="85">
        <f t="shared" si="117"/>
        <v>0</v>
      </c>
      <c r="AC34" s="85">
        <f t="shared" si="118"/>
        <v>0</v>
      </c>
      <c r="AD34" s="86">
        <f t="shared" si="119"/>
        <v>8</v>
      </c>
      <c r="AE34" s="87">
        <f t="shared" si="120"/>
        <v>-2</v>
      </c>
      <c r="AF34" s="87">
        <f t="shared" si="121"/>
        <v>-2</v>
      </c>
      <c r="AG34" s="85">
        <f t="shared" si="122"/>
        <v>0</v>
      </c>
      <c r="AH34" s="85">
        <f t="shared" si="123"/>
        <v>8</v>
      </c>
      <c r="AI34" s="85">
        <f t="shared" si="124"/>
        <v>0</v>
      </c>
      <c r="AJ34" s="85"/>
      <c r="AK34" s="88">
        <f t="shared" ref="AK34:AK36" si="126">SUM((AJ27:AJ34),(T27:T34))</f>
        <v>48</v>
      </c>
    </row>
    <row r="35" spans="1:44" ht="15.75" customHeight="1" x14ac:dyDescent="0.3">
      <c r="A35" s="74">
        <v>27</v>
      </c>
      <c r="B35" s="164" t="s">
        <v>68</v>
      </c>
      <c r="C35" s="165">
        <v>0.33333333333333331</v>
      </c>
      <c r="D35" s="165">
        <v>0.70833333333333337</v>
      </c>
      <c r="E35" s="166">
        <v>4.1666666666666664E-2</v>
      </c>
      <c r="F35" s="167">
        <f t="shared" si="101"/>
        <v>8</v>
      </c>
      <c r="G35" s="36"/>
      <c r="H35" s="168">
        <f>IF(G35="Ja",V35+X35-Z35-Y35,0)</f>
        <v>0</v>
      </c>
      <c r="I35" s="169">
        <f t="shared" si="102"/>
        <v>0</v>
      </c>
      <c r="J35" s="170"/>
      <c r="K35" s="171" t="str">
        <f t="shared" si="125"/>
        <v>-</v>
      </c>
      <c r="L35" s="170">
        <f t="shared" si="103"/>
        <v>0</v>
      </c>
      <c r="M35" s="172">
        <f t="shared" si="104"/>
        <v>0</v>
      </c>
      <c r="N35" s="173"/>
      <c r="O35" s="92"/>
      <c r="P35" s="80">
        <f t="shared" si="105"/>
        <v>0.33333333333333337</v>
      </c>
      <c r="Q35" s="81">
        <f t="shared" si="106"/>
        <v>8</v>
      </c>
      <c r="R35" s="82">
        <f t="shared" si="107"/>
        <v>0</v>
      </c>
      <c r="S35" s="83">
        <f t="shared" si="108"/>
        <v>0</v>
      </c>
      <c r="T35" s="82">
        <f t="shared" si="109"/>
        <v>8</v>
      </c>
      <c r="U35" s="84">
        <f t="shared" si="110"/>
        <v>0</v>
      </c>
      <c r="V35" s="82">
        <f t="shared" si="111"/>
        <v>0</v>
      </c>
      <c r="W35" s="82">
        <f t="shared" si="112"/>
        <v>0</v>
      </c>
      <c r="X35" s="83">
        <f t="shared" si="113"/>
        <v>0</v>
      </c>
      <c r="Y35" s="85">
        <f t="shared" si="114"/>
        <v>0</v>
      </c>
      <c r="Z35" s="85">
        <f t="shared" si="115"/>
        <v>0</v>
      </c>
      <c r="AA35" s="85">
        <f t="shared" si="116"/>
        <v>17</v>
      </c>
      <c r="AB35" s="85">
        <f t="shared" si="117"/>
        <v>0</v>
      </c>
      <c r="AC35" s="85">
        <f t="shared" si="118"/>
        <v>0</v>
      </c>
      <c r="AD35" s="86">
        <f t="shared" si="119"/>
        <v>8</v>
      </c>
      <c r="AE35" s="87">
        <f t="shared" si="120"/>
        <v>-2</v>
      </c>
      <c r="AF35" s="87">
        <f t="shared" si="121"/>
        <v>-2</v>
      </c>
      <c r="AG35" s="85">
        <f t="shared" si="122"/>
        <v>0</v>
      </c>
      <c r="AH35" s="85">
        <f t="shared" si="123"/>
        <v>8</v>
      </c>
      <c r="AI35" s="85">
        <f t="shared" si="124"/>
        <v>0</v>
      </c>
      <c r="AJ35" s="85"/>
      <c r="AK35" s="88">
        <f t="shared" si="126"/>
        <v>48</v>
      </c>
    </row>
    <row r="36" spans="1:44" ht="15.75" customHeight="1" x14ac:dyDescent="0.3">
      <c r="A36" s="74">
        <v>28</v>
      </c>
      <c r="B36" s="164" t="s">
        <v>63</v>
      </c>
      <c r="C36" s="165">
        <v>0.33333333333333331</v>
      </c>
      <c r="D36" s="165">
        <v>0.70833333333333337</v>
      </c>
      <c r="E36" s="166">
        <v>4.1666666666666664E-2</v>
      </c>
      <c r="F36" s="167">
        <f t="shared" si="101"/>
        <v>8</v>
      </c>
      <c r="G36" s="36"/>
      <c r="H36" s="168">
        <f>IF(G36="Ja",V36+X36-Z36-Y36,0)</f>
        <v>0</v>
      </c>
      <c r="I36" s="169">
        <f t="shared" si="102"/>
        <v>0</v>
      </c>
      <c r="J36" s="170"/>
      <c r="K36" s="171" t="str">
        <f t="shared" si="125"/>
        <v>-</v>
      </c>
      <c r="L36" s="170">
        <f t="shared" si="103"/>
        <v>0</v>
      </c>
      <c r="M36" s="172">
        <f t="shared" si="104"/>
        <v>0</v>
      </c>
      <c r="N36" s="173"/>
      <c r="O36" s="92"/>
      <c r="P36" s="80">
        <f t="shared" si="105"/>
        <v>0.33333333333333337</v>
      </c>
      <c r="Q36" s="81">
        <f t="shared" si="106"/>
        <v>8</v>
      </c>
      <c r="R36" s="82">
        <f t="shared" si="107"/>
        <v>0</v>
      </c>
      <c r="S36" s="83">
        <f t="shared" si="108"/>
        <v>0</v>
      </c>
      <c r="T36" s="82">
        <f t="shared" si="109"/>
        <v>8</v>
      </c>
      <c r="U36" s="84">
        <f t="shared" si="110"/>
        <v>0</v>
      </c>
      <c r="V36" s="82">
        <f t="shared" si="111"/>
        <v>0</v>
      </c>
      <c r="W36" s="82">
        <f t="shared" si="112"/>
        <v>0</v>
      </c>
      <c r="X36" s="83">
        <f t="shared" si="113"/>
        <v>0</v>
      </c>
      <c r="Y36" s="85">
        <f t="shared" si="114"/>
        <v>0</v>
      </c>
      <c r="Z36" s="85">
        <f t="shared" si="115"/>
        <v>0</v>
      </c>
      <c r="AA36" s="85">
        <f t="shared" si="116"/>
        <v>17</v>
      </c>
      <c r="AB36" s="85">
        <f t="shared" si="117"/>
        <v>0</v>
      </c>
      <c r="AC36" s="85">
        <f t="shared" si="118"/>
        <v>0</v>
      </c>
      <c r="AD36" s="86">
        <f t="shared" si="119"/>
        <v>8</v>
      </c>
      <c r="AE36" s="87">
        <f t="shared" si="120"/>
        <v>-2</v>
      </c>
      <c r="AF36" s="87">
        <f t="shared" si="121"/>
        <v>-2</v>
      </c>
      <c r="AG36" s="85">
        <f t="shared" si="122"/>
        <v>0</v>
      </c>
      <c r="AH36" s="85">
        <f t="shared" si="123"/>
        <v>8</v>
      </c>
      <c r="AI36" s="85">
        <f t="shared" si="124"/>
        <v>0</v>
      </c>
      <c r="AJ36" s="85"/>
      <c r="AK36" s="88">
        <f t="shared" si="126"/>
        <v>48</v>
      </c>
    </row>
    <row r="37" spans="1:44" ht="15.75" customHeight="1" x14ac:dyDescent="0.3">
      <c r="A37" s="74">
        <v>29</v>
      </c>
      <c r="B37" s="164" t="s">
        <v>64</v>
      </c>
      <c r="C37" s="165">
        <v>0.33333333333333331</v>
      </c>
      <c r="D37" s="165">
        <v>0.70833333333333337</v>
      </c>
      <c r="E37" s="166">
        <v>4.1666666666666664E-2</v>
      </c>
      <c r="F37" s="167">
        <f t="shared" si="101"/>
        <v>8</v>
      </c>
      <c r="G37" s="36"/>
      <c r="H37" s="168">
        <f>IF(G37="Ja",V37+X37-Z37-Y37,0)</f>
        <v>0</v>
      </c>
      <c r="I37" s="169">
        <f t="shared" si="102"/>
        <v>0</v>
      </c>
      <c r="J37" s="170"/>
      <c r="K37" s="171" t="str">
        <f t="shared" si="125"/>
        <v>-</v>
      </c>
      <c r="L37" s="170">
        <f t="shared" si="103"/>
        <v>0</v>
      </c>
      <c r="M37" s="172">
        <f t="shared" si="104"/>
        <v>0</v>
      </c>
      <c r="N37" s="173"/>
      <c r="O37" s="92"/>
      <c r="P37" s="80">
        <f t="shared" si="105"/>
        <v>0.33333333333333337</v>
      </c>
      <c r="Q37" s="81">
        <f t="shared" si="106"/>
        <v>8</v>
      </c>
      <c r="R37" s="82">
        <f t="shared" si="107"/>
        <v>0</v>
      </c>
      <c r="S37" s="83">
        <f t="shared" si="108"/>
        <v>0</v>
      </c>
      <c r="T37" s="82">
        <f t="shared" si="109"/>
        <v>8</v>
      </c>
      <c r="U37" s="84">
        <f t="shared" si="110"/>
        <v>0</v>
      </c>
      <c r="V37" s="82">
        <f t="shared" si="111"/>
        <v>0</v>
      </c>
      <c r="W37" s="82">
        <f t="shared" si="112"/>
        <v>0</v>
      </c>
      <c r="X37" s="83">
        <f t="shared" si="113"/>
        <v>0</v>
      </c>
      <c r="Y37" s="85">
        <f t="shared" si="114"/>
        <v>0</v>
      </c>
      <c r="Z37" s="85">
        <f t="shared" si="115"/>
        <v>0</v>
      </c>
      <c r="AA37" s="85">
        <f t="shared" si="116"/>
        <v>17</v>
      </c>
      <c r="AB37" s="85">
        <f t="shared" si="117"/>
        <v>0</v>
      </c>
      <c r="AC37" s="85">
        <f t="shared" si="118"/>
        <v>0</v>
      </c>
      <c r="AD37" s="86">
        <f t="shared" si="119"/>
        <v>8</v>
      </c>
      <c r="AE37" s="87">
        <f t="shared" si="120"/>
        <v>-2</v>
      </c>
      <c r="AF37" s="87">
        <f t="shared" si="121"/>
        <v>-2</v>
      </c>
      <c r="AG37" s="85">
        <f t="shared" si="122"/>
        <v>0</v>
      </c>
      <c r="AH37" s="85">
        <f t="shared" si="123"/>
        <v>8</v>
      </c>
      <c r="AI37" s="85">
        <f t="shared" si="124"/>
        <v>0</v>
      </c>
      <c r="AJ37" s="85"/>
      <c r="AK37" s="88">
        <f>SUM((AJ30:AJ37),(T30:T37))</f>
        <v>48</v>
      </c>
    </row>
    <row r="38" spans="1:44" ht="15.75" customHeight="1" x14ac:dyDescent="0.3">
      <c r="A38" s="74">
        <v>30</v>
      </c>
      <c r="B38" s="75" t="s">
        <v>65</v>
      </c>
      <c r="C38" s="29"/>
      <c r="D38" s="29"/>
      <c r="E38" s="32"/>
      <c r="F38" s="76">
        <f>IF(AND(G38="ja",OR(B38 = "fre")),0,IF(AND(G38="ja",T38&gt;=8.5),8,T38))</f>
        <v>0</v>
      </c>
      <c r="G38" s="30"/>
      <c r="H38" s="77"/>
      <c r="I38" s="90">
        <f>IF(G38 = "ja",IF(OR(B38="fre"),T38,Z38+Y38),0)</f>
        <v>0</v>
      </c>
      <c r="J38" s="78"/>
      <c r="K38" s="31"/>
      <c r="L38" s="78">
        <f t="shared" ref="L38" si="127">IF(K38="SJ",8-F38,IF(K38="SE",8-F38,IF(K38="OS",8-F38,IF(K38="TL",8-F38,IF(K38="PL",8-F38,IF(K38="VB",8-F38,IF(K38="FL",8-F38,IF(K38="PE",8-F38,0))))))))</f>
        <v>0</v>
      </c>
      <c r="M38" s="79">
        <f t="shared" ref="M38" si="128">IF(F38&lt;8,8-F38,0)</f>
        <v>8</v>
      </c>
      <c r="N38" s="33" t="s">
        <v>102</v>
      </c>
      <c r="O38" s="89"/>
      <c r="P38" s="80">
        <f t="shared" ref="P38" si="129">D38-C38-E38</f>
        <v>0</v>
      </c>
      <c r="Q38" s="81">
        <f t="shared" ref="Q38" si="130">HOUR(P38)</f>
        <v>0</v>
      </c>
      <c r="R38" s="82">
        <f t="shared" ref="R38" si="131">MINUTE(P38)</f>
        <v>0</v>
      </c>
      <c r="S38" s="83">
        <f t="shared" ref="S38" si="132">R38/60</f>
        <v>0</v>
      </c>
      <c r="T38" s="82">
        <f t="shared" ref="T38" si="133">Q38+S38</f>
        <v>0</v>
      </c>
      <c r="U38" s="84">
        <f t="shared" ref="U38" si="134">IF(AND(G38="Ja",F38&gt;=8),T38-8,0)</f>
        <v>0</v>
      </c>
      <c r="V38" s="82">
        <f t="shared" ref="V38" si="135">TRUNC(U38,0)</f>
        <v>0</v>
      </c>
      <c r="W38" s="82">
        <f t="shared" ref="W38" si="136">U38-V38</f>
        <v>0</v>
      </c>
      <c r="X38" s="83">
        <f t="shared" ref="X38" si="137">IF(W38&gt;=0.5,0.5,0)</f>
        <v>0</v>
      </c>
      <c r="Y38" s="85">
        <f t="shared" ref="Y38" si="138">IF(HOUR(C38)&lt;6,(AF38)+(AG38),0)</f>
        <v>6</v>
      </c>
      <c r="Z38" s="85">
        <f t="shared" ref="Z38" si="139">IF(AA38&gt;=20,AA38-20+(AB38),0)</f>
        <v>4</v>
      </c>
      <c r="AA38" s="85">
        <f t="shared" ref="AA38" si="140">IF(HOUR(D38)=0,24,HOUR(D38))</f>
        <v>24</v>
      </c>
      <c r="AB38" s="85">
        <f t="shared" ref="AB38" si="141">IF(AND(HOUR(D38)&gt;=20,MINUTE(D38)&gt;=30),0.5,0)</f>
        <v>0</v>
      </c>
      <c r="AC38" s="85">
        <f t="shared" ref="AC38" si="142">IF(AND(HOUR(C38)&lt;6,MINUTE(C38)&lt;=30),0.5,0)</f>
        <v>0.5</v>
      </c>
      <c r="AD38" s="86">
        <f t="shared" ref="AD38" si="143">HOUR(C38)+MINUTE(C38)/60</f>
        <v>0</v>
      </c>
      <c r="AE38" s="87">
        <f t="shared" ref="AE38" si="144">(AD38-6)*(-1)</f>
        <v>6</v>
      </c>
      <c r="AF38" s="87">
        <f t="shared" ref="AF38" si="145">TRUNC(AE38)</f>
        <v>6</v>
      </c>
      <c r="AG38" s="85">
        <f t="shared" ref="AG38" si="146">IF(AE38-AF38&gt;=0.5,0.5,0)</f>
        <v>0</v>
      </c>
      <c r="AH38" s="85">
        <f t="shared" ref="AH38" si="147">IF(T38-TRUNC(T38)&gt;=0.5,TRUNC(T38)+0.5,TRUNC(T38))</f>
        <v>0</v>
      </c>
      <c r="AI38" s="85">
        <f t="shared" ref="AI38" si="148">IF(U38-TRUNC(U38)&gt;=0.5,TRUNC(U38)+0.5,TRUNC(U38))</f>
        <v>0</v>
      </c>
      <c r="AJ38" s="85"/>
      <c r="AK38" s="88">
        <f>SUM((AJ33:AJ128),(T33:T128))</f>
        <v>32</v>
      </c>
      <c r="AR38" s="73" t="s">
        <v>84</v>
      </c>
    </row>
    <row r="39" spans="1:44" ht="15.75" customHeight="1" thickBot="1" x14ac:dyDescent="0.35">
      <c r="A39" s="178">
        <v>31</v>
      </c>
      <c r="B39" s="179" t="s">
        <v>83</v>
      </c>
      <c r="C39" s="180"/>
      <c r="D39" s="180"/>
      <c r="E39" s="181"/>
      <c r="F39" s="182">
        <f t="shared" si="101"/>
        <v>0</v>
      </c>
      <c r="G39" s="183"/>
      <c r="H39" s="184"/>
      <c r="I39" s="185">
        <f t="shared" si="102"/>
        <v>0</v>
      </c>
      <c r="J39" s="186"/>
      <c r="K39" s="187"/>
      <c r="L39" s="186">
        <f t="shared" si="103"/>
        <v>0</v>
      </c>
      <c r="M39" s="188">
        <f t="shared" si="104"/>
        <v>8</v>
      </c>
      <c r="N39" s="189" t="s">
        <v>103</v>
      </c>
      <c r="O39" s="91">
        <f>SUM(F34,F35,F36,F37,F38,F39,H34,H35,H36,H37,I34,I35,I36,I37,I38,I39)</f>
        <v>32</v>
      </c>
      <c r="P39" s="80">
        <f t="shared" si="105"/>
        <v>0</v>
      </c>
      <c r="Q39" s="81">
        <f t="shared" si="106"/>
        <v>0</v>
      </c>
      <c r="R39" s="82">
        <f t="shared" si="107"/>
        <v>0</v>
      </c>
      <c r="S39" s="83">
        <f t="shared" si="108"/>
        <v>0</v>
      </c>
      <c r="T39" s="82">
        <f t="shared" si="109"/>
        <v>0</v>
      </c>
      <c r="U39" s="84">
        <f t="shared" si="110"/>
        <v>0</v>
      </c>
      <c r="V39" s="82">
        <f t="shared" si="111"/>
        <v>0</v>
      </c>
      <c r="W39" s="82">
        <f t="shared" si="112"/>
        <v>0</v>
      </c>
      <c r="X39" s="83">
        <f t="shared" si="113"/>
        <v>0</v>
      </c>
      <c r="Y39" s="85">
        <f t="shared" si="114"/>
        <v>6</v>
      </c>
      <c r="Z39" s="85">
        <f t="shared" si="115"/>
        <v>4</v>
      </c>
      <c r="AA39" s="85">
        <f t="shared" si="116"/>
        <v>24</v>
      </c>
      <c r="AB39" s="85">
        <f t="shared" si="117"/>
        <v>0</v>
      </c>
      <c r="AC39" s="85">
        <f t="shared" si="118"/>
        <v>0.5</v>
      </c>
      <c r="AD39" s="86">
        <f t="shared" si="119"/>
        <v>0</v>
      </c>
      <c r="AE39" s="87">
        <f t="shared" si="120"/>
        <v>6</v>
      </c>
      <c r="AF39" s="87">
        <f t="shared" si="121"/>
        <v>6</v>
      </c>
      <c r="AG39" s="85">
        <f t="shared" si="122"/>
        <v>0</v>
      </c>
      <c r="AH39" s="85">
        <f t="shared" si="123"/>
        <v>0</v>
      </c>
      <c r="AI39" s="85">
        <f t="shared" si="124"/>
        <v>0</v>
      </c>
      <c r="AJ39" s="85"/>
      <c r="AK39" s="88">
        <f>SUM((AJ34:AJ129),(T34:T129))</f>
        <v>32</v>
      </c>
      <c r="AR39" s="73" t="s">
        <v>84</v>
      </c>
    </row>
    <row r="40" spans="1:44" ht="15" customHeight="1" x14ac:dyDescent="0.3">
      <c r="A40" s="204" t="s">
        <v>69</v>
      </c>
      <c r="B40" s="205"/>
      <c r="C40" s="206">
        <f>8*21</f>
        <v>168</v>
      </c>
      <c r="D40" s="207" t="s">
        <v>70</v>
      </c>
      <c r="E40" s="208"/>
      <c r="F40" s="206">
        <f>SUM(F9:F39)</f>
        <v>168</v>
      </c>
      <c r="G40" s="209"/>
      <c r="H40" s="206">
        <f>SUM(H9:H39)</f>
        <v>0</v>
      </c>
      <c r="I40" s="206">
        <f>SUM(I9:I39)</f>
        <v>0</v>
      </c>
      <c r="J40" s="236" t="e">
        <f>SUM(#REF!)</f>
        <v>#REF!</v>
      </c>
      <c r="K40" s="209"/>
      <c r="L40" s="206">
        <f>SUM(L9:L39)</f>
        <v>0</v>
      </c>
      <c r="M40" s="176"/>
      <c r="N40" s="177" t="s">
        <v>71</v>
      </c>
      <c r="O40" s="175"/>
      <c r="P40" s="230">
        <f>SUM(P9:P17)</f>
        <v>2.3333333333333339</v>
      </c>
      <c r="Q40" s="81"/>
      <c r="R40" s="82"/>
      <c r="S40" s="83"/>
      <c r="T40" s="82"/>
      <c r="U40" s="84"/>
      <c r="V40" s="82"/>
      <c r="W40" s="82"/>
      <c r="X40" s="83"/>
      <c r="Y40" s="85"/>
      <c r="Z40" s="85"/>
      <c r="AA40" s="85"/>
      <c r="AB40" s="85"/>
      <c r="AC40" s="85"/>
      <c r="AD40" s="87"/>
      <c r="AE40" s="87"/>
      <c r="AF40" s="87"/>
      <c r="AG40" s="85"/>
      <c r="AH40" s="85"/>
      <c r="AI40" s="85"/>
      <c r="AJ40" s="85"/>
      <c r="AK40" s="88"/>
    </row>
    <row r="41" spans="1:44" ht="21.75" customHeight="1" thickBot="1" x14ac:dyDescent="0.35">
      <c r="A41" s="204"/>
      <c r="B41" s="205"/>
      <c r="C41" s="206"/>
      <c r="D41" s="207"/>
      <c r="E41" s="208"/>
      <c r="F41" s="206"/>
      <c r="G41" s="209"/>
      <c r="H41" s="206"/>
      <c r="I41" s="206"/>
      <c r="J41" s="237"/>
      <c r="K41" s="238"/>
      <c r="L41" s="206"/>
      <c r="M41" s="94"/>
      <c r="N41" s="95">
        <f>IF(N48="All övertid till tid",((H40*1.5+I40*2)+F40-C40+L40),IF(N48="All övertid till pengar",0,IF(N48="All övertid till tid+pengar",(I40+H40+F40-C40+L40))))</f>
        <v>0</v>
      </c>
      <c r="O41" s="93"/>
      <c r="P41" s="231"/>
      <c r="Q41" s="81"/>
      <c r="R41" s="82"/>
      <c r="S41" s="83"/>
      <c r="T41" s="82"/>
      <c r="U41" s="84"/>
      <c r="V41" s="82"/>
      <c r="W41" s="82"/>
      <c r="X41" s="83"/>
      <c r="Y41" s="85"/>
      <c r="Z41" s="85"/>
      <c r="AA41" s="85"/>
      <c r="AB41" s="85"/>
      <c r="AC41" s="85"/>
      <c r="AD41" s="87"/>
      <c r="AE41" s="87"/>
      <c r="AF41" s="87"/>
      <c r="AG41" s="85"/>
      <c r="AH41" s="85"/>
      <c r="AI41" s="85"/>
      <c r="AJ41" s="85"/>
      <c r="AK41" s="88"/>
    </row>
    <row r="42" spans="1:44" ht="15.75" customHeight="1" thickBot="1" x14ac:dyDescent="0.35">
      <c r="A42" s="232" t="s">
        <v>89</v>
      </c>
      <c r="B42" s="233"/>
      <c r="C42" s="233"/>
      <c r="D42" s="234"/>
      <c r="E42" s="160" t="s">
        <v>72</v>
      </c>
      <c r="F42" s="158"/>
      <c r="G42" s="159" t="s">
        <v>86</v>
      </c>
      <c r="H42" s="235" t="s">
        <v>73</v>
      </c>
      <c r="I42" s="235"/>
      <c r="J42" s="235"/>
      <c r="K42" s="235"/>
      <c r="L42" s="235"/>
      <c r="M42" s="235"/>
      <c r="N42" s="235"/>
      <c r="O42" s="96"/>
      <c r="P42" s="97">
        <f>F40+H40+I40</f>
        <v>168</v>
      </c>
      <c r="Q42" s="81"/>
      <c r="R42" s="82"/>
      <c r="S42" s="83"/>
      <c r="T42" s="82"/>
      <c r="U42" s="84"/>
      <c r="V42" s="82"/>
      <c r="W42" s="82"/>
      <c r="X42" s="83"/>
      <c r="Y42" s="85"/>
      <c r="Z42" s="85"/>
      <c r="AA42" s="85"/>
      <c r="AB42" s="85"/>
      <c r="AC42" s="85"/>
      <c r="AD42" s="87"/>
      <c r="AE42" s="87"/>
      <c r="AF42" s="87"/>
      <c r="AG42" s="85"/>
      <c r="AH42" s="85"/>
      <c r="AI42" s="85"/>
      <c r="AJ42" s="85"/>
      <c r="AK42" s="88"/>
    </row>
    <row r="43" spans="1:44" ht="12" customHeight="1" x14ac:dyDescent="0.3">
      <c r="A43" s="210"/>
      <c r="B43" s="210"/>
      <c r="C43" s="210"/>
      <c r="D43" s="210"/>
      <c r="E43" s="157"/>
      <c r="F43" s="260" t="s">
        <v>95</v>
      </c>
      <c r="G43" s="211" t="s">
        <v>87</v>
      </c>
      <c r="H43" s="98" t="s">
        <v>30</v>
      </c>
      <c r="I43" s="99"/>
      <c r="J43" s="98" t="s">
        <v>31</v>
      </c>
      <c r="K43" s="100" t="s">
        <v>38</v>
      </c>
      <c r="M43" s="101" t="s">
        <v>74</v>
      </c>
      <c r="N43" s="102" t="s">
        <v>42</v>
      </c>
      <c r="O43" s="96"/>
      <c r="P43" s="103" t="s">
        <v>75</v>
      </c>
      <c r="Q43" s="82"/>
      <c r="R43" s="83"/>
      <c r="S43" s="82"/>
      <c r="T43" s="84"/>
      <c r="U43" s="82"/>
      <c r="V43" s="82"/>
      <c r="W43" s="83"/>
      <c r="X43" s="85"/>
      <c r="Y43" s="85"/>
      <c r="Z43" s="85"/>
      <c r="AA43" s="85"/>
      <c r="AB43" s="85"/>
      <c r="AC43" s="87"/>
      <c r="AD43" s="87"/>
      <c r="AE43" s="87"/>
      <c r="AF43" s="85"/>
      <c r="AG43" s="85"/>
      <c r="AH43" s="85"/>
      <c r="AI43" s="85"/>
      <c r="AJ43" s="88"/>
      <c r="AL43" s="73"/>
    </row>
    <row r="44" spans="1:44" ht="12.75" customHeight="1" x14ac:dyDescent="0.3">
      <c r="A44" s="248"/>
      <c r="B44" s="248"/>
      <c r="C44" s="248"/>
      <c r="D44" s="248"/>
      <c r="E44" s="152"/>
      <c r="F44" s="261"/>
      <c r="G44" s="211"/>
      <c r="H44" s="98" t="s">
        <v>32</v>
      </c>
      <c r="I44" s="99"/>
      <c r="J44" s="98" t="s">
        <v>33</v>
      </c>
      <c r="K44" s="100" t="s">
        <v>39</v>
      </c>
      <c r="M44" s="101"/>
      <c r="N44" s="104"/>
      <c r="O44" s="96"/>
      <c r="P44" s="103" t="s">
        <v>77</v>
      </c>
      <c r="Q44" s="82"/>
      <c r="R44" s="83"/>
      <c r="S44" s="82"/>
      <c r="T44" s="84"/>
      <c r="U44" s="82"/>
      <c r="V44" s="82"/>
      <c r="W44" s="83"/>
      <c r="X44" s="85"/>
      <c r="Y44" s="85"/>
      <c r="Z44" s="85"/>
      <c r="AA44" s="85"/>
      <c r="AB44" s="85"/>
      <c r="AC44" s="87"/>
      <c r="AD44" s="87"/>
      <c r="AE44" s="87"/>
      <c r="AF44" s="85"/>
      <c r="AG44" s="85"/>
      <c r="AH44" s="85"/>
      <c r="AI44" s="85"/>
      <c r="AJ44" s="88"/>
      <c r="AL44" s="73"/>
    </row>
    <row r="45" spans="1:44" thickBot="1" x14ac:dyDescent="0.35">
      <c r="A45" s="249"/>
      <c r="B45" s="249"/>
      <c r="C45" s="249"/>
      <c r="D45" s="249"/>
      <c r="E45" s="153"/>
      <c r="F45" s="261"/>
      <c r="G45" s="211"/>
      <c r="H45" s="105" t="s">
        <v>34</v>
      </c>
      <c r="I45" s="99"/>
      <c r="J45" s="98" t="s">
        <v>35</v>
      </c>
      <c r="K45" s="100" t="s">
        <v>40</v>
      </c>
      <c r="N45" s="106" t="s">
        <v>76</v>
      </c>
      <c r="O45" s="96"/>
      <c r="P45" s="103" t="s">
        <v>79</v>
      </c>
      <c r="Q45" s="82"/>
      <c r="R45" s="83"/>
      <c r="S45" s="82"/>
      <c r="T45" s="84"/>
      <c r="U45" s="82"/>
      <c r="V45" s="82"/>
      <c r="W45" s="83"/>
      <c r="X45" s="85"/>
      <c r="Y45" s="85"/>
      <c r="Z45" s="85"/>
      <c r="AA45" s="85"/>
      <c r="AB45" s="85"/>
      <c r="AC45" s="87"/>
      <c r="AD45" s="87"/>
      <c r="AE45" s="87"/>
      <c r="AF45" s="85"/>
      <c r="AG45" s="85"/>
      <c r="AH45" s="85"/>
      <c r="AI45" s="85"/>
      <c r="AJ45" s="88"/>
      <c r="AL45" s="73"/>
    </row>
    <row r="46" spans="1:44" thickBot="1" x14ac:dyDescent="0.35">
      <c r="A46" s="250" t="s">
        <v>96</v>
      </c>
      <c r="B46" s="251"/>
      <c r="C46" s="251"/>
      <c r="D46" s="252"/>
      <c r="E46" s="155">
        <f>SUM(E43:E45)</f>
        <v>0</v>
      </c>
      <c r="F46" s="161"/>
      <c r="G46" s="211"/>
      <c r="H46" s="98" t="s">
        <v>36</v>
      </c>
      <c r="I46" s="99"/>
      <c r="J46" s="98" t="s">
        <v>37</v>
      </c>
      <c r="K46" s="100" t="s">
        <v>41</v>
      </c>
      <c r="N46" s="107" t="s">
        <v>78</v>
      </c>
      <c r="O46" s="96"/>
      <c r="P46" s="103" t="s">
        <v>80</v>
      </c>
      <c r="Q46" s="82"/>
      <c r="R46" s="83"/>
      <c r="S46" s="82"/>
      <c r="T46" s="84"/>
      <c r="U46" s="82"/>
      <c r="V46" s="82"/>
      <c r="W46" s="83"/>
      <c r="X46" s="85"/>
      <c r="Y46" s="85"/>
      <c r="Z46" s="85"/>
      <c r="AA46" s="85"/>
      <c r="AB46" s="85"/>
      <c r="AC46" s="87"/>
      <c r="AD46" s="87"/>
      <c r="AE46" s="87"/>
      <c r="AF46" s="85"/>
      <c r="AG46" s="85"/>
      <c r="AH46" s="85"/>
      <c r="AI46" s="85"/>
      <c r="AJ46" s="88"/>
      <c r="AL46" s="73"/>
    </row>
    <row r="47" spans="1:44" ht="21.75" customHeight="1" thickBot="1" x14ac:dyDescent="0.35">
      <c r="A47" s="259" t="s">
        <v>97</v>
      </c>
      <c r="B47" s="259"/>
      <c r="C47" s="259"/>
      <c r="D47" s="259"/>
      <c r="E47" s="174"/>
      <c r="F47" s="154">
        <f>E46+E47</f>
        <v>0</v>
      </c>
      <c r="G47" s="162"/>
      <c r="H47" s="240" t="s">
        <v>43</v>
      </c>
      <c r="I47" s="241"/>
      <c r="J47" s="241"/>
      <c r="K47" s="241"/>
      <c r="L47" s="241"/>
      <c r="M47" s="241"/>
      <c r="N47" s="241"/>
      <c r="O47" s="96"/>
      <c r="P47" s="103" t="s">
        <v>61</v>
      </c>
      <c r="Q47" s="82"/>
      <c r="R47" s="83"/>
      <c r="S47" s="82"/>
      <c r="T47" s="84"/>
      <c r="U47" s="82"/>
      <c r="V47" s="82"/>
      <c r="W47" s="83"/>
      <c r="X47" s="85"/>
      <c r="Y47" s="85"/>
      <c r="Z47" s="85"/>
      <c r="AA47" s="85"/>
      <c r="AB47" s="85"/>
      <c r="AC47" s="87"/>
      <c r="AD47" s="87"/>
      <c r="AE47" s="87"/>
      <c r="AF47" s="85"/>
      <c r="AG47" s="85"/>
      <c r="AH47" s="85"/>
      <c r="AI47" s="85"/>
      <c r="AJ47" s="88"/>
      <c r="AL47" s="73"/>
    </row>
    <row r="48" spans="1:44" ht="12.75" customHeight="1" x14ac:dyDescent="0.3">
      <c r="A48" s="108" t="s">
        <v>0</v>
      </c>
      <c r="B48" s="109"/>
      <c r="C48" s="109"/>
      <c r="D48" s="109"/>
      <c r="E48" s="109"/>
      <c r="F48" s="109"/>
      <c r="G48" s="156"/>
      <c r="H48" s="110" t="s">
        <v>1</v>
      </c>
      <c r="I48" s="111"/>
      <c r="J48" s="112"/>
      <c r="K48" s="112"/>
      <c r="L48" s="112"/>
      <c r="M48" s="113"/>
      <c r="N48" s="242" t="s">
        <v>2</v>
      </c>
      <c r="O48" s="96"/>
      <c r="P48" s="103" t="s">
        <v>4</v>
      </c>
      <c r="Q48" s="82"/>
      <c r="R48" s="83"/>
      <c r="S48" s="82"/>
      <c r="T48" s="84"/>
      <c r="U48" s="82"/>
      <c r="V48" s="82"/>
      <c r="W48" s="83"/>
      <c r="X48" s="85"/>
      <c r="Y48" s="85"/>
      <c r="Z48" s="85"/>
      <c r="AA48" s="85"/>
      <c r="AB48" s="85"/>
      <c r="AC48" s="87"/>
      <c r="AD48" s="87"/>
      <c r="AE48" s="87"/>
      <c r="AF48" s="85"/>
      <c r="AG48" s="85"/>
      <c r="AH48" s="85"/>
      <c r="AI48" s="85"/>
      <c r="AJ48" s="88"/>
      <c r="AL48" s="73"/>
    </row>
    <row r="49" spans="1:38" ht="14.4" x14ac:dyDescent="0.3">
      <c r="A49" s="114"/>
      <c r="B49" s="115"/>
      <c r="C49" s="115"/>
      <c r="D49" s="115"/>
      <c r="E49" s="115"/>
      <c r="F49" s="115"/>
      <c r="G49" s="116"/>
      <c r="H49" s="117" t="s">
        <v>3</v>
      </c>
      <c r="I49" s="111"/>
      <c r="J49" s="111"/>
      <c r="K49" s="111"/>
      <c r="L49" s="111"/>
      <c r="M49" s="113"/>
      <c r="N49" s="243"/>
      <c r="O49" s="96"/>
      <c r="P49" s="103" t="s">
        <v>7</v>
      </c>
      <c r="Q49" s="82"/>
      <c r="R49" s="83"/>
      <c r="S49" s="82"/>
      <c r="T49" s="84"/>
      <c r="U49" s="82"/>
      <c r="V49" s="82"/>
      <c r="W49" s="83"/>
      <c r="X49" s="85"/>
      <c r="Y49" s="85"/>
      <c r="Z49" s="85"/>
      <c r="AA49" s="85"/>
      <c r="AB49" s="85"/>
      <c r="AC49" s="87"/>
      <c r="AD49" s="87"/>
      <c r="AE49" s="87"/>
      <c r="AF49" s="85"/>
      <c r="AG49" s="85"/>
      <c r="AH49" s="85"/>
      <c r="AI49" s="85"/>
      <c r="AJ49" s="88"/>
      <c r="AL49" s="73"/>
    </row>
    <row r="50" spans="1:38" ht="14.4" x14ac:dyDescent="0.3">
      <c r="A50" s="118" t="s">
        <v>5</v>
      </c>
      <c r="B50" s="115"/>
      <c r="C50" s="115"/>
      <c r="D50" s="115"/>
      <c r="E50" s="115"/>
      <c r="F50" s="115"/>
      <c r="G50" s="116"/>
      <c r="H50" s="119" t="s">
        <v>6</v>
      </c>
      <c r="I50" s="111"/>
      <c r="J50" s="111"/>
      <c r="K50" s="111"/>
      <c r="L50" s="111"/>
      <c r="M50" s="113"/>
      <c r="N50" s="244"/>
      <c r="O50" s="96"/>
      <c r="P50" s="103" t="s">
        <v>11</v>
      </c>
      <c r="Q50" s="82"/>
      <c r="R50" s="83"/>
      <c r="S50" s="82"/>
      <c r="T50" s="84"/>
      <c r="U50" s="82"/>
      <c r="V50" s="82"/>
      <c r="W50" s="83"/>
      <c r="X50" s="85"/>
      <c r="Y50" s="85"/>
      <c r="Z50" s="85"/>
      <c r="AA50" s="85"/>
      <c r="AB50" s="85"/>
      <c r="AC50" s="87"/>
      <c r="AD50" s="87"/>
      <c r="AE50" s="87"/>
      <c r="AF50" s="85"/>
      <c r="AG50" s="85"/>
      <c r="AH50" s="85"/>
      <c r="AI50" s="85"/>
      <c r="AJ50" s="88"/>
      <c r="AL50" s="73"/>
    </row>
    <row r="51" spans="1:38" ht="14.4" x14ac:dyDescent="0.3">
      <c r="A51" s="108"/>
      <c r="B51" s="115"/>
      <c r="C51" s="115"/>
      <c r="D51" s="115"/>
      <c r="E51" s="115"/>
      <c r="F51" s="115"/>
      <c r="G51" s="116"/>
      <c r="H51" s="119" t="s">
        <v>8</v>
      </c>
      <c r="I51" s="111"/>
      <c r="J51" s="111"/>
      <c r="K51" s="111"/>
      <c r="L51" s="111"/>
      <c r="M51" s="113" t="s">
        <v>9</v>
      </c>
      <c r="N51" s="34" t="s">
        <v>10</v>
      </c>
      <c r="O51" s="96"/>
      <c r="P51" s="103" t="s">
        <v>13</v>
      </c>
      <c r="Q51" s="82"/>
      <c r="R51" s="83"/>
      <c r="S51" s="82"/>
      <c r="T51" s="84"/>
      <c r="U51" s="82"/>
      <c r="V51" s="82"/>
      <c r="W51" s="83"/>
      <c r="X51" s="85"/>
      <c r="Y51" s="85"/>
      <c r="Z51" s="85"/>
      <c r="AA51" s="85"/>
      <c r="AB51" s="85"/>
      <c r="AC51" s="87"/>
      <c r="AD51" s="87"/>
      <c r="AE51" s="87"/>
      <c r="AF51" s="85"/>
      <c r="AG51" s="85"/>
      <c r="AH51" s="85"/>
      <c r="AI51" s="85"/>
      <c r="AJ51" s="88"/>
      <c r="AL51" s="73"/>
    </row>
    <row r="52" spans="1:38" ht="14.4" x14ac:dyDescent="0.3">
      <c r="A52" s="108"/>
      <c r="B52" s="115"/>
      <c r="C52" s="115"/>
      <c r="D52" s="115"/>
      <c r="E52" s="115"/>
      <c r="F52" s="115"/>
      <c r="G52" s="116"/>
      <c r="H52" s="120" t="s">
        <v>12</v>
      </c>
      <c r="I52" s="111"/>
      <c r="J52" s="111"/>
      <c r="K52" s="111"/>
      <c r="L52" s="111"/>
      <c r="M52" s="113" t="s">
        <v>9</v>
      </c>
      <c r="N52" s="34" t="s">
        <v>10</v>
      </c>
      <c r="O52" s="121"/>
      <c r="P52" s="122" t="s">
        <v>2</v>
      </c>
      <c r="Q52" s="82"/>
      <c r="R52" s="83"/>
      <c r="S52" s="82"/>
      <c r="T52" s="84"/>
      <c r="U52" s="82"/>
      <c r="V52" s="82"/>
      <c r="W52" s="83"/>
      <c r="X52" s="85"/>
      <c r="Y52" s="85"/>
      <c r="Z52" s="85"/>
      <c r="AA52" s="85"/>
      <c r="AB52" s="85"/>
      <c r="AC52" s="87"/>
      <c r="AD52" s="87"/>
      <c r="AE52" s="87"/>
      <c r="AF52" s="85"/>
      <c r="AG52" s="85"/>
      <c r="AH52" s="85"/>
      <c r="AI52" s="85"/>
      <c r="AJ52" s="88"/>
      <c r="AL52" s="73"/>
    </row>
    <row r="53" spans="1:38" thickBot="1" x14ac:dyDescent="0.35">
      <c r="A53" s="123"/>
      <c r="B53" s="124"/>
      <c r="C53" s="124"/>
      <c r="D53" s="125"/>
      <c r="E53" s="124"/>
      <c r="F53" s="124"/>
      <c r="G53" s="126"/>
      <c r="H53" s="127" t="s">
        <v>14</v>
      </c>
      <c r="I53" s="128"/>
      <c r="J53" s="128"/>
      <c r="K53" s="128"/>
      <c r="L53" s="128"/>
      <c r="M53" s="129" t="s">
        <v>9</v>
      </c>
      <c r="N53" s="34" t="s">
        <v>10</v>
      </c>
      <c r="O53" s="130"/>
      <c r="P53" s="131" t="s">
        <v>18</v>
      </c>
      <c r="Q53" s="82"/>
      <c r="R53" s="83"/>
      <c r="S53" s="82"/>
      <c r="T53" s="84"/>
      <c r="U53" s="82"/>
      <c r="V53" s="82"/>
      <c r="W53" s="83"/>
      <c r="X53" s="85"/>
      <c r="Y53" s="85"/>
      <c r="Z53" s="85"/>
      <c r="AA53" s="85"/>
      <c r="AB53" s="85"/>
      <c r="AC53" s="87"/>
      <c r="AD53" s="87"/>
      <c r="AE53" s="87"/>
      <c r="AF53" s="85"/>
      <c r="AG53" s="85"/>
      <c r="AH53" s="85"/>
      <c r="AI53" s="85"/>
      <c r="AJ53" s="88"/>
      <c r="AL53" s="73"/>
    </row>
    <row r="54" spans="1:38" ht="14.4" x14ac:dyDescent="0.3">
      <c r="A54" s="194" t="s">
        <v>15</v>
      </c>
      <c r="B54" s="195"/>
      <c r="C54" s="195"/>
      <c r="D54" s="195"/>
      <c r="E54" s="195"/>
      <c r="F54" s="195"/>
      <c r="G54" s="196"/>
      <c r="H54" s="245" t="s">
        <v>81</v>
      </c>
      <c r="I54" s="246"/>
      <c r="J54" s="246"/>
      <c r="K54" s="246"/>
      <c r="L54" s="246"/>
      <c r="M54" s="247"/>
      <c r="N54" s="132" t="s">
        <v>17</v>
      </c>
      <c r="O54" s="130"/>
      <c r="P54" s="133" t="s">
        <v>19</v>
      </c>
      <c r="Q54" s="82"/>
      <c r="R54" s="83"/>
      <c r="S54" s="82"/>
      <c r="T54" s="84"/>
      <c r="U54" s="82"/>
      <c r="V54" s="82"/>
      <c r="W54" s="83"/>
      <c r="X54" s="85"/>
      <c r="Y54" s="85"/>
      <c r="Z54" s="85"/>
      <c r="AA54" s="85"/>
      <c r="AB54" s="85"/>
      <c r="AC54" s="87"/>
      <c r="AD54" s="87"/>
      <c r="AE54" s="87"/>
      <c r="AF54" s="85"/>
      <c r="AG54" s="85"/>
      <c r="AH54" s="85"/>
      <c r="AI54" s="85"/>
      <c r="AJ54" s="88"/>
      <c r="AL54" s="73"/>
    </row>
    <row r="55" spans="1:38" ht="13.5" customHeight="1" thickBot="1" x14ac:dyDescent="0.35">
      <c r="A55" s="197"/>
      <c r="B55" s="198"/>
      <c r="C55" s="198"/>
      <c r="D55" s="198"/>
      <c r="E55" s="198"/>
      <c r="F55" s="198"/>
      <c r="G55" s="199"/>
      <c r="H55" s="253" t="s">
        <v>108</v>
      </c>
      <c r="I55" s="254"/>
      <c r="J55" s="254"/>
      <c r="K55" s="254"/>
      <c r="L55" s="254"/>
      <c r="M55" s="255"/>
      <c r="N55" s="239"/>
      <c r="O55" s="93"/>
      <c r="P55" s="81"/>
      <c r="Q55" s="82"/>
      <c r="R55" s="83"/>
      <c r="S55" s="82"/>
      <c r="T55" s="84"/>
      <c r="U55" s="82"/>
      <c r="V55" s="82"/>
      <c r="W55" s="83"/>
      <c r="X55" s="85"/>
      <c r="Y55" s="85"/>
      <c r="Z55" s="85"/>
      <c r="AA55" s="85"/>
      <c r="AB55" s="85"/>
      <c r="AC55" s="87"/>
      <c r="AD55" s="87"/>
      <c r="AE55" s="87"/>
      <c r="AF55" s="85"/>
      <c r="AG55" s="85"/>
      <c r="AH55" s="85"/>
      <c r="AI55" s="85"/>
      <c r="AJ55" s="88"/>
      <c r="AL55" s="73"/>
    </row>
    <row r="56" spans="1:38" ht="13.5" customHeight="1" thickBot="1" x14ac:dyDescent="0.35">
      <c r="A56" s="200"/>
      <c r="B56" s="201"/>
      <c r="C56" s="201"/>
      <c r="D56" s="201"/>
      <c r="E56" s="201"/>
      <c r="F56" s="201"/>
      <c r="G56" s="202"/>
      <c r="H56" s="256"/>
      <c r="I56" s="257"/>
      <c r="J56" s="257"/>
      <c r="K56" s="257"/>
      <c r="L56" s="257"/>
      <c r="M56" s="258"/>
      <c r="N56" s="239"/>
      <c r="O56" s="71"/>
      <c r="P56" s="72" t="s">
        <v>84</v>
      </c>
      <c r="Q56" s="82"/>
      <c r="R56" s="83"/>
      <c r="S56" s="82"/>
      <c r="T56" s="84"/>
      <c r="U56" s="82"/>
      <c r="V56" s="82"/>
      <c r="W56" s="83"/>
      <c r="X56" s="85"/>
      <c r="Y56" s="85"/>
      <c r="Z56" s="85"/>
      <c r="AA56" s="85"/>
      <c r="AB56" s="85"/>
      <c r="AC56" s="87"/>
      <c r="AD56" s="87"/>
      <c r="AE56" s="87"/>
      <c r="AF56" s="85"/>
      <c r="AG56" s="85"/>
      <c r="AH56" s="85"/>
      <c r="AI56" s="85"/>
      <c r="AJ56" s="88"/>
      <c r="AL56" s="73"/>
    </row>
    <row r="57" spans="1:38" ht="15" customHeight="1" x14ac:dyDescent="0.3">
      <c r="A57" s="134"/>
      <c r="B57" s="41"/>
      <c r="C57" s="41"/>
      <c r="D57" s="41"/>
      <c r="E57" s="41"/>
      <c r="F57" s="41"/>
      <c r="G57" s="72"/>
      <c r="H57" s="72"/>
      <c r="I57" s="72"/>
      <c r="J57" s="72"/>
      <c r="K57" s="72"/>
      <c r="L57" s="72"/>
      <c r="M57" s="72"/>
      <c r="N57" s="72"/>
      <c r="P57" s="72" t="s">
        <v>10</v>
      </c>
      <c r="Q57" s="82"/>
      <c r="R57" s="83"/>
      <c r="S57" s="82"/>
      <c r="T57" s="84"/>
      <c r="U57" s="82"/>
      <c r="V57" s="82"/>
      <c r="W57" s="83"/>
      <c r="X57" s="85"/>
      <c r="Y57" s="85"/>
      <c r="Z57" s="85"/>
      <c r="AA57" s="85"/>
      <c r="AB57" s="85"/>
      <c r="AC57" s="87"/>
      <c r="AD57" s="87"/>
      <c r="AE57" s="87"/>
      <c r="AF57" s="85"/>
      <c r="AG57" s="85"/>
      <c r="AH57" s="85"/>
      <c r="AI57" s="85"/>
      <c r="AJ57" s="88"/>
      <c r="AL57" s="73"/>
    </row>
    <row r="58" spans="1:38" ht="15" customHeight="1" x14ac:dyDescent="0.3">
      <c r="A58" s="135"/>
      <c r="B58" s="136"/>
      <c r="C58" s="136"/>
      <c r="D58" s="136"/>
      <c r="E58" s="136"/>
      <c r="F58" s="136"/>
      <c r="G58" s="112"/>
      <c r="H58" s="112"/>
      <c r="I58" s="112"/>
      <c r="J58" s="112"/>
      <c r="K58" s="112"/>
      <c r="L58" s="112"/>
      <c r="M58" s="72"/>
      <c r="N58" s="72"/>
      <c r="Q58" s="81"/>
      <c r="R58" s="82"/>
      <c r="S58" s="83"/>
      <c r="T58" s="82"/>
      <c r="U58" s="84"/>
      <c r="V58" s="82"/>
      <c r="W58" s="82"/>
      <c r="X58" s="83"/>
      <c r="Y58" s="85"/>
      <c r="Z58" s="85"/>
      <c r="AA58" s="85"/>
      <c r="AB58" s="85"/>
      <c r="AC58" s="85"/>
      <c r="AD58" s="87"/>
      <c r="AE58" s="87"/>
      <c r="AF58" s="87"/>
      <c r="AG58" s="85"/>
      <c r="AH58" s="85"/>
      <c r="AI58" s="85"/>
      <c r="AJ58" s="85"/>
      <c r="AK58" s="88"/>
    </row>
    <row r="59" spans="1:38" ht="15" customHeight="1" x14ac:dyDescent="0.3">
      <c r="A59" s="135"/>
      <c r="B59" s="137"/>
      <c r="C59" s="138"/>
      <c r="D59" s="138"/>
      <c r="E59" s="138"/>
      <c r="F59" s="138"/>
      <c r="G59" s="139"/>
      <c r="H59" s="112"/>
      <c r="I59" s="112"/>
      <c r="J59" s="112"/>
      <c r="K59" s="112"/>
      <c r="L59" s="112"/>
      <c r="M59" s="72"/>
      <c r="N59" s="72"/>
      <c r="Q59" s="81"/>
      <c r="R59" s="82"/>
      <c r="S59" s="83"/>
      <c r="T59" s="82"/>
      <c r="U59" s="84"/>
      <c r="V59" s="82"/>
      <c r="W59" s="82"/>
      <c r="X59" s="83"/>
      <c r="Y59" s="85"/>
      <c r="Z59" s="85"/>
      <c r="AA59" s="85"/>
      <c r="AB59" s="85"/>
      <c r="AC59" s="85"/>
      <c r="AD59" s="87"/>
      <c r="AE59" s="87"/>
      <c r="AF59" s="87"/>
      <c r="AG59" s="85"/>
      <c r="AH59" s="85"/>
      <c r="AI59" s="85"/>
      <c r="AJ59" s="85"/>
      <c r="AK59" s="88"/>
    </row>
    <row r="60" spans="1:38" ht="15" customHeight="1" x14ac:dyDescent="0.3">
      <c r="A60" s="140"/>
      <c r="B60" s="138"/>
      <c r="C60" s="138"/>
      <c r="D60" s="138"/>
      <c r="E60" s="138"/>
      <c r="F60" s="138"/>
      <c r="G60" s="139"/>
      <c r="H60" s="102"/>
      <c r="I60" s="112"/>
      <c r="J60" s="112"/>
      <c r="K60" s="141"/>
      <c r="L60" s="141"/>
      <c r="M60" s="72"/>
      <c r="N60" s="72"/>
      <c r="Q60" s="81"/>
      <c r="R60" s="82"/>
      <c r="S60" s="83"/>
      <c r="T60" s="82"/>
      <c r="U60" s="84"/>
      <c r="V60" s="82"/>
      <c r="W60" s="82"/>
      <c r="X60" s="83"/>
      <c r="Y60" s="85"/>
      <c r="Z60" s="85"/>
      <c r="AA60" s="85"/>
      <c r="AB60" s="85"/>
      <c r="AC60" s="85"/>
      <c r="AD60" s="87"/>
      <c r="AE60" s="87"/>
      <c r="AF60" s="87"/>
      <c r="AG60" s="85"/>
      <c r="AH60" s="85"/>
      <c r="AI60" s="85"/>
      <c r="AJ60" s="85"/>
      <c r="AK60" s="88"/>
    </row>
    <row r="61" spans="1:38" ht="15" customHeight="1" x14ac:dyDescent="0.3">
      <c r="A61" s="135"/>
      <c r="B61" s="136"/>
      <c r="C61" s="142"/>
      <c r="D61" s="136"/>
      <c r="E61" s="136"/>
      <c r="F61" s="143"/>
      <c r="G61" s="144"/>
      <c r="H61" s="112"/>
      <c r="I61" s="112"/>
      <c r="J61" s="112"/>
      <c r="K61" s="112"/>
      <c r="L61" s="112"/>
      <c r="M61" s="72"/>
      <c r="N61" s="72"/>
      <c r="Q61" s="81"/>
      <c r="R61" s="82"/>
      <c r="S61" s="83"/>
      <c r="T61" s="82"/>
      <c r="U61" s="84"/>
      <c r="V61" s="82"/>
      <c r="W61" s="82"/>
      <c r="X61" s="83"/>
      <c r="Y61" s="85"/>
      <c r="Z61" s="85"/>
      <c r="AA61" s="85"/>
      <c r="AB61" s="85"/>
      <c r="AC61" s="85"/>
      <c r="AD61" s="87"/>
      <c r="AE61" s="87"/>
      <c r="AF61" s="87"/>
      <c r="AG61" s="85"/>
      <c r="AH61" s="85"/>
      <c r="AI61" s="85"/>
      <c r="AJ61" s="85"/>
      <c r="AK61" s="88"/>
    </row>
    <row r="62" spans="1:38" ht="15" customHeight="1" x14ac:dyDescent="0.3">
      <c r="A62" s="134"/>
      <c r="B62" s="41"/>
      <c r="C62" s="142"/>
      <c r="D62" s="136"/>
      <c r="E62" s="136"/>
      <c r="F62" s="143"/>
      <c r="G62" s="144"/>
      <c r="H62" s="112"/>
      <c r="I62" s="112"/>
      <c r="J62" s="112"/>
      <c r="K62" s="112"/>
      <c r="L62" s="112"/>
      <c r="M62" s="72"/>
      <c r="N62" s="72"/>
      <c r="Q62" s="81"/>
      <c r="R62" s="82"/>
      <c r="S62" s="83"/>
      <c r="T62" s="82"/>
      <c r="U62" s="84"/>
      <c r="V62" s="82"/>
      <c r="W62" s="82"/>
      <c r="X62" s="83"/>
      <c r="Y62" s="85"/>
      <c r="Z62" s="85"/>
      <c r="AA62" s="85"/>
      <c r="AB62" s="85"/>
      <c r="AC62" s="85"/>
      <c r="AD62" s="87"/>
      <c r="AE62" s="87"/>
      <c r="AF62" s="87"/>
      <c r="AG62" s="85"/>
      <c r="AH62" s="85"/>
      <c r="AI62" s="85"/>
      <c r="AJ62" s="85"/>
      <c r="AK62" s="88"/>
    </row>
    <row r="63" spans="1:38" ht="15" customHeight="1" x14ac:dyDescent="0.3">
      <c r="A63" s="42"/>
      <c r="B63" s="42"/>
      <c r="C63" s="142"/>
      <c r="D63" s="41"/>
      <c r="E63" s="41"/>
      <c r="F63" s="145"/>
      <c r="G63" s="146"/>
      <c r="H63" s="72"/>
      <c r="I63" s="72"/>
      <c r="J63" s="72"/>
      <c r="K63" s="72"/>
      <c r="L63" s="72"/>
      <c r="M63" s="72"/>
      <c r="N63" s="72"/>
      <c r="Q63" s="81"/>
      <c r="R63" s="82"/>
      <c r="S63" s="83"/>
      <c r="T63" s="82"/>
      <c r="U63" s="84"/>
      <c r="V63" s="82"/>
      <c r="W63" s="82"/>
      <c r="X63" s="83"/>
      <c r="Y63" s="85"/>
      <c r="Z63" s="85"/>
      <c r="AA63" s="85"/>
      <c r="AB63" s="85"/>
      <c r="AC63" s="85"/>
      <c r="AD63" s="87"/>
      <c r="AE63" s="87"/>
      <c r="AF63" s="87"/>
      <c r="AG63" s="85"/>
      <c r="AH63" s="85"/>
      <c r="AI63" s="85"/>
      <c r="AJ63" s="85"/>
      <c r="AK63" s="88"/>
    </row>
    <row r="64" spans="1:38" ht="15" customHeight="1" x14ac:dyDescent="0.3">
      <c r="A64" s="134"/>
      <c r="B64" s="41"/>
      <c r="C64" s="142"/>
      <c r="D64" s="41"/>
      <c r="E64" s="41"/>
      <c r="F64" s="145"/>
      <c r="G64" s="146"/>
      <c r="H64" s="72"/>
      <c r="I64" s="72"/>
      <c r="J64" s="72"/>
      <c r="K64" s="72"/>
      <c r="L64" s="72"/>
      <c r="M64" s="72"/>
      <c r="N64" s="72"/>
      <c r="Q64" s="81"/>
      <c r="R64" s="82"/>
      <c r="S64" s="83"/>
      <c r="T64" s="82"/>
      <c r="U64" s="84"/>
      <c r="V64" s="82"/>
      <c r="W64" s="82"/>
      <c r="X64" s="83"/>
      <c r="Y64" s="85"/>
      <c r="Z64" s="85"/>
      <c r="AA64" s="85"/>
      <c r="AB64" s="85"/>
      <c r="AC64" s="85"/>
      <c r="AD64" s="87"/>
      <c r="AE64" s="87"/>
      <c r="AF64" s="87"/>
      <c r="AG64" s="85"/>
      <c r="AH64" s="85"/>
      <c r="AI64" s="85"/>
      <c r="AJ64" s="85"/>
      <c r="AK64" s="88"/>
    </row>
    <row r="65" spans="1:37" ht="15" customHeight="1" x14ac:dyDescent="0.3">
      <c r="A65" s="134"/>
      <c r="B65" s="41"/>
      <c r="C65" s="41"/>
      <c r="D65" s="41"/>
      <c r="E65" s="41"/>
      <c r="F65" s="145"/>
      <c r="G65" s="146"/>
      <c r="H65" s="72"/>
      <c r="I65" s="72"/>
      <c r="J65" s="72"/>
      <c r="K65" s="72"/>
      <c r="L65" s="72"/>
      <c r="M65" s="72"/>
      <c r="N65" s="72"/>
      <c r="Q65" s="81"/>
      <c r="R65" s="82"/>
      <c r="S65" s="83"/>
      <c r="T65" s="82"/>
      <c r="U65" s="84"/>
      <c r="V65" s="82"/>
      <c r="W65" s="82"/>
      <c r="X65" s="83"/>
      <c r="Y65" s="85"/>
      <c r="Z65" s="85"/>
      <c r="AA65" s="85"/>
      <c r="AB65" s="85"/>
      <c r="AC65" s="85"/>
      <c r="AD65" s="87"/>
      <c r="AE65" s="87"/>
      <c r="AF65" s="87"/>
      <c r="AG65" s="85"/>
      <c r="AH65" s="85"/>
      <c r="AI65" s="85"/>
      <c r="AJ65" s="85"/>
      <c r="AK65" s="88"/>
    </row>
    <row r="66" spans="1:37" ht="15" customHeight="1" x14ac:dyDescent="0.3">
      <c r="A66" s="134"/>
      <c r="B66" s="41"/>
      <c r="C66" s="41"/>
      <c r="D66" s="41"/>
      <c r="E66" s="41"/>
      <c r="F66" s="145"/>
      <c r="G66" s="146"/>
      <c r="H66" s="72"/>
      <c r="I66" s="72"/>
      <c r="J66" s="72"/>
      <c r="K66" s="72"/>
      <c r="L66" s="72"/>
      <c r="M66" s="72"/>
      <c r="N66" s="72"/>
      <c r="Q66" s="81"/>
      <c r="R66" s="82"/>
      <c r="S66" s="83"/>
      <c r="T66" s="82"/>
      <c r="U66" s="84"/>
      <c r="V66" s="82"/>
      <c r="W66" s="82"/>
      <c r="X66" s="83"/>
      <c r="Y66" s="85"/>
      <c r="Z66" s="85"/>
      <c r="AA66" s="85"/>
      <c r="AB66" s="85"/>
      <c r="AC66" s="85"/>
      <c r="AD66" s="87"/>
      <c r="AE66" s="87"/>
      <c r="AF66" s="87"/>
      <c r="AG66" s="85"/>
      <c r="AH66" s="85"/>
      <c r="AI66" s="85"/>
      <c r="AJ66" s="85"/>
      <c r="AK66" s="88"/>
    </row>
    <row r="67" spans="1:37" ht="15" customHeight="1" x14ac:dyDescent="0.3">
      <c r="A67" s="134"/>
      <c r="B67" s="41"/>
      <c r="C67" s="41"/>
      <c r="D67" s="41"/>
      <c r="E67" s="41"/>
      <c r="F67" s="145"/>
      <c r="G67" s="146"/>
      <c r="H67" s="72"/>
      <c r="I67" s="72"/>
      <c r="J67" s="72"/>
      <c r="K67" s="72"/>
      <c r="L67" s="72"/>
      <c r="M67" s="72"/>
      <c r="N67" s="72"/>
      <c r="Q67" s="81"/>
      <c r="R67" s="82"/>
      <c r="S67" s="83"/>
      <c r="T67" s="82"/>
      <c r="U67" s="84"/>
      <c r="V67" s="82"/>
      <c r="W67" s="82"/>
      <c r="X67" s="83"/>
      <c r="Y67" s="85"/>
      <c r="Z67" s="85"/>
      <c r="AA67" s="85"/>
      <c r="AB67" s="85"/>
      <c r="AC67" s="85"/>
      <c r="AD67" s="87"/>
      <c r="AE67" s="87"/>
      <c r="AF67" s="87"/>
      <c r="AG67" s="85"/>
      <c r="AH67" s="85"/>
      <c r="AI67" s="85"/>
      <c r="AJ67" s="85"/>
      <c r="AK67" s="88"/>
    </row>
    <row r="68" spans="1:37" ht="15" customHeight="1" x14ac:dyDescent="0.3">
      <c r="A68" s="134"/>
      <c r="B68" s="41"/>
      <c r="C68" s="41"/>
      <c r="D68" s="41"/>
      <c r="E68" s="41"/>
      <c r="F68" s="145"/>
      <c r="G68" s="146"/>
      <c r="H68" s="72"/>
      <c r="I68" s="72"/>
      <c r="J68" s="72"/>
      <c r="K68" s="72"/>
      <c r="L68" s="72"/>
      <c r="M68" s="72"/>
      <c r="N68" s="72"/>
      <c r="Q68" s="81"/>
      <c r="R68" s="82"/>
      <c r="S68" s="83"/>
      <c r="T68" s="82"/>
      <c r="U68" s="84"/>
      <c r="V68" s="82"/>
      <c r="W68" s="82"/>
      <c r="X68" s="83"/>
      <c r="Y68" s="85"/>
      <c r="Z68" s="85"/>
      <c r="AA68" s="85"/>
      <c r="AB68" s="85"/>
      <c r="AC68" s="85"/>
      <c r="AD68" s="87"/>
      <c r="AE68" s="87"/>
      <c r="AF68" s="87"/>
      <c r="AG68" s="85"/>
      <c r="AH68" s="85"/>
      <c r="AI68" s="85"/>
      <c r="AJ68" s="85"/>
      <c r="AK68" s="88"/>
    </row>
    <row r="69" spans="1:37" ht="15" customHeight="1" x14ac:dyDescent="0.3">
      <c r="A69" s="134"/>
      <c r="B69" s="41"/>
      <c r="C69" s="41"/>
      <c r="D69" s="41"/>
      <c r="E69" s="41"/>
      <c r="F69" s="145"/>
      <c r="G69" s="146"/>
      <c r="H69" s="72"/>
      <c r="I69" s="72"/>
      <c r="J69" s="72"/>
      <c r="K69" s="72"/>
      <c r="L69" s="72"/>
      <c r="M69" s="72"/>
      <c r="N69" s="72"/>
      <c r="Q69" s="81"/>
      <c r="R69" s="82"/>
      <c r="S69" s="83"/>
      <c r="T69" s="82"/>
      <c r="U69" s="84"/>
      <c r="V69" s="82"/>
      <c r="W69" s="82"/>
      <c r="X69" s="83"/>
      <c r="Y69" s="85"/>
      <c r="Z69" s="85"/>
      <c r="AA69" s="85"/>
      <c r="AB69" s="85"/>
      <c r="AC69" s="85"/>
      <c r="AD69" s="87"/>
      <c r="AE69" s="87"/>
      <c r="AF69" s="87"/>
      <c r="AG69" s="85"/>
      <c r="AH69" s="85"/>
      <c r="AI69" s="85"/>
      <c r="AJ69" s="85"/>
      <c r="AK69" s="88"/>
    </row>
    <row r="70" spans="1:37" ht="15" customHeight="1" x14ac:dyDescent="0.3">
      <c r="A70" s="134"/>
      <c r="B70" s="41"/>
      <c r="C70" s="41"/>
      <c r="D70" s="41"/>
      <c r="E70" s="41"/>
      <c r="F70" s="145"/>
      <c r="G70" s="146"/>
      <c r="H70" s="72"/>
      <c r="I70" s="72"/>
      <c r="J70" s="72"/>
      <c r="K70" s="72"/>
      <c r="L70" s="72"/>
      <c r="M70" s="72"/>
      <c r="N70" s="72"/>
      <c r="Q70" s="81"/>
      <c r="R70" s="82"/>
      <c r="S70" s="83"/>
      <c r="T70" s="82"/>
      <c r="U70" s="84"/>
      <c r="V70" s="82"/>
      <c r="W70" s="82"/>
      <c r="X70" s="83"/>
      <c r="Y70" s="85"/>
      <c r="Z70" s="85"/>
      <c r="AA70" s="85"/>
      <c r="AB70" s="85"/>
      <c r="AC70" s="85"/>
      <c r="AD70" s="87"/>
      <c r="AE70" s="87"/>
      <c r="AF70" s="87"/>
      <c r="AG70" s="85"/>
      <c r="AH70" s="85"/>
      <c r="AI70" s="85"/>
      <c r="AJ70" s="85"/>
      <c r="AK70" s="88"/>
    </row>
    <row r="71" spans="1:37" ht="15" customHeight="1" x14ac:dyDescent="0.3">
      <c r="A71" s="134"/>
      <c r="B71" s="41"/>
      <c r="C71" s="41"/>
      <c r="D71" s="41"/>
      <c r="E71" s="41"/>
      <c r="F71" s="145"/>
      <c r="G71" s="146"/>
      <c r="H71" s="72"/>
      <c r="I71" s="72"/>
      <c r="J71" s="72"/>
      <c r="K71" s="72"/>
      <c r="L71" s="72"/>
      <c r="M71" s="72"/>
      <c r="N71" s="72"/>
      <c r="Q71" s="81"/>
      <c r="R71" s="82"/>
      <c r="S71" s="83"/>
      <c r="T71" s="82"/>
      <c r="U71" s="84"/>
      <c r="V71" s="82"/>
      <c r="W71" s="82"/>
      <c r="X71" s="83"/>
      <c r="Y71" s="85"/>
      <c r="Z71" s="85"/>
      <c r="AA71" s="85"/>
      <c r="AB71" s="85"/>
      <c r="AC71" s="85"/>
      <c r="AD71" s="87"/>
      <c r="AE71" s="87"/>
      <c r="AF71" s="87"/>
      <c r="AG71" s="85"/>
      <c r="AH71" s="85"/>
      <c r="AI71" s="85"/>
      <c r="AJ71" s="85"/>
      <c r="AK71" s="88"/>
    </row>
    <row r="72" spans="1:37" ht="15" customHeight="1" x14ac:dyDescent="0.3">
      <c r="A72" s="134"/>
      <c r="B72" s="41"/>
      <c r="C72" s="41"/>
      <c r="D72" s="41"/>
      <c r="E72" s="41"/>
      <c r="F72" s="145"/>
      <c r="G72" s="146"/>
      <c r="H72" s="72"/>
      <c r="I72" s="72"/>
      <c r="J72" s="72"/>
      <c r="K72" s="72"/>
      <c r="L72" s="72"/>
      <c r="M72" s="72"/>
      <c r="N72" s="72"/>
      <c r="Q72" s="81"/>
      <c r="R72" s="82"/>
      <c r="S72" s="83"/>
      <c r="T72" s="82"/>
      <c r="U72" s="84"/>
      <c r="V72" s="82"/>
      <c r="W72" s="82"/>
      <c r="X72" s="83"/>
      <c r="Y72" s="85"/>
      <c r="Z72" s="85"/>
      <c r="AA72" s="85"/>
      <c r="AB72" s="85"/>
      <c r="AC72" s="85"/>
      <c r="AD72" s="87"/>
      <c r="AE72" s="87"/>
      <c r="AF72" s="87"/>
      <c r="AG72" s="85"/>
      <c r="AH72" s="85"/>
      <c r="AI72" s="85"/>
      <c r="AJ72" s="85"/>
      <c r="AK72" s="88"/>
    </row>
    <row r="73" spans="1:37" ht="15" customHeight="1" x14ac:dyDescent="0.3">
      <c r="A73" s="134"/>
      <c r="B73" s="41"/>
      <c r="C73" s="41"/>
      <c r="D73" s="41"/>
      <c r="E73" s="41"/>
      <c r="F73" s="145"/>
      <c r="G73" s="146"/>
      <c r="H73" s="72"/>
      <c r="I73" s="72"/>
      <c r="J73" s="72"/>
      <c r="K73" s="72"/>
      <c r="L73" s="72"/>
      <c r="M73" s="72"/>
      <c r="N73" s="72"/>
      <c r="Q73" s="81"/>
      <c r="R73" s="82"/>
      <c r="S73" s="83"/>
      <c r="T73" s="82"/>
      <c r="U73" s="84"/>
      <c r="V73" s="82"/>
      <c r="W73" s="82"/>
      <c r="X73" s="83"/>
      <c r="Y73" s="85"/>
      <c r="Z73" s="85"/>
      <c r="AA73" s="85"/>
      <c r="AB73" s="85"/>
      <c r="AC73" s="85"/>
      <c r="AD73" s="87"/>
      <c r="AE73" s="87"/>
      <c r="AF73" s="87"/>
      <c r="AG73" s="85"/>
      <c r="AH73" s="85"/>
      <c r="AI73" s="85"/>
      <c r="AJ73" s="85"/>
      <c r="AK73" s="88"/>
    </row>
    <row r="74" spans="1:37" ht="15" customHeight="1" x14ac:dyDescent="0.3">
      <c r="A74" s="134"/>
      <c r="B74" s="41"/>
      <c r="C74" s="41"/>
      <c r="D74" s="41"/>
      <c r="E74" s="41"/>
      <c r="F74" s="145"/>
      <c r="G74" s="146"/>
      <c r="H74" s="72"/>
      <c r="I74" s="72"/>
      <c r="J74" s="72"/>
      <c r="K74" s="72"/>
      <c r="L74" s="72"/>
      <c r="M74" s="72"/>
      <c r="N74" s="72"/>
      <c r="Q74" s="81"/>
      <c r="R74" s="82"/>
      <c r="S74" s="83"/>
      <c r="T74" s="82"/>
      <c r="U74" s="84"/>
      <c r="V74" s="82"/>
      <c r="W74" s="82"/>
      <c r="X74" s="83"/>
      <c r="Y74" s="85"/>
      <c r="Z74" s="85"/>
      <c r="AA74" s="85"/>
      <c r="AB74" s="85"/>
      <c r="AC74" s="85"/>
      <c r="AD74" s="87"/>
      <c r="AE74" s="87"/>
      <c r="AF74" s="87"/>
      <c r="AG74" s="85"/>
      <c r="AH74" s="85"/>
      <c r="AI74" s="85"/>
      <c r="AJ74" s="85"/>
      <c r="AK74" s="88"/>
    </row>
    <row r="75" spans="1:37" ht="15" customHeight="1" x14ac:dyDescent="0.3">
      <c r="A75" s="42"/>
      <c r="B75" s="42"/>
      <c r="C75" s="42"/>
      <c r="D75" s="42"/>
      <c r="E75" s="42"/>
      <c r="F75" s="42"/>
      <c r="Q75" s="81"/>
      <c r="R75" s="82"/>
      <c r="S75" s="83"/>
      <c r="T75" s="82"/>
      <c r="U75" s="84"/>
      <c r="V75" s="82"/>
      <c r="W75" s="82"/>
      <c r="X75" s="83"/>
      <c r="Y75" s="85"/>
      <c r="Z75" s="85"/>
      <c r="AA75" s="85"/>
      <c r="AB75" s="85"/>
      <c r="AC75" s="85"/>
      <c r="AD75" s="87"/>
      <c r="AE75" s="87"/>
      <c r="AF75" s="87"/>
      <c r="AG75" s="85"/>
      <c r="AH75" s="85"/>
      <c r="AI75" s="85"/>
      <c r="AJ75" s="85"/>
      <c r="AK75" s="88"/>
    </row>
  </sheetData>
  <sheetProtection algorithmName="SHA-512" hashValue="o4CbWvMct47OeCQe0eAh0jB/lEN/n/9W13lanaa6BoMPmVBNjJ7rVl2gkaKsxLPCRfmbiiNOEdoh9X0KzCYY9Q==" saltValue="hGd21XbG0PAIKSTREWbEXQ==" spinCount="100000" sheet="1" objects="1" scenarios="1"/>
  <mergeCells count="39">
    <mergeCell ref="N55:N56"/>
    <mergeCell ref="H47:N47"/>
    <mergeCell ref="N48:N50"/>
    <mergeCell ref="H54:M54"/>
    <mergeCell ref="A44:D44"/>
    <mergeCell ref="A45:D45"/>
    <mergeCell ref="A46:D46"/>
    <mergeCell ref="H55:M56"/>
    <mergeCell ref="A47:D47"/>
    <mergeCell ref="F43:F45"/>
    <mergeCell ref="P40:P41"/>
    <mergeCell ref="A42:D42"/>
    <mergeCell ref="H42:N42"/>
    <mergeCell ref="J40:J41"/>
    <mergeCell ref="K40:K41"/>
    <mergeCell ref="L40:L41"/>
    <mergeCell ref="A1:C1"/>
    <mergeCell ref="J1:M1"/>
    <mergeCell ref="J2:M3"/>
    <mergeCell ref="F3:I6"/>
    <mergeCell ref="J4:M4"/>
    <mergeCell ref="J5:M6"/>
    <mergeCell ref="F1:I2"/>
    <mergeCell ref="N5:N6"/>
    <mergeCell ref="N2:N3"/>
    <mergeCell ref="A54:G54"/>
    <mergeCell ref="A55:G56"/>
    <mergeCell ref="D7:E7"/>
    <mergeCell ref="H7:I7"/>
    <mergeCell ref="K7:M7"/>
    <mergeCell ref="A40:B41"/>
    <mergeCell ref="C40:C41"/>
    <mergeCell ref="D40:E41"/>
    <mergeCell ref="F40:F41"/>
    <mergeCell ref="G40:G41"/>
    <mergeCell ref="H40:H41"/>
    <mergeCell ref="I40:I41"/>
    <mergeCell ref="A43:D43"/>
    <mergeCell ref="G43:G46"/>
  </mergeCells>
  <phoneticPr fontId="41" type="noConversion"/>
  <dataValidations disablePrompts="1" count="3">
    <dataValidation type="list" allowBlank="1" showInputMessage="1" showErrorMessage="1" sqref="N48:N50">
      <formula1>$P$52:$P$54</formula1>
    </dataValidation>
    <dataValidation type="list" allowBlank="1" showInputMessage="1" showErrorMessage="1" sqref="N51:N53 G9:G39">
      <formula1>$P$56:$P$57</formula1>
    </dataValidation>
    <dataValidation type="list" allowBlank="1" showInputMessage="1" showErrorMessage="1" sqref="K9:K39">
      <formula1>$P$43:$P$51</formula1>
    </dataValidation>
  </dataValidations>
  <hyperlinks>
    <hyperlink ref="A50" r:id="rId1"/>
  </hyperlinks>
  <pageMargins left="0.70866141732283472" right="0.6" top="0.74803149606299213" bottom="0.74803149606299213" header="0.31496062992125984" footer="0.31496062992125984"/>
  <pageSetup paperSize="9" scale="75" orientation="portrait" horizontalDpi="4294967292" verticalDpi="4294967292" r:id="rId2"/>
  <drawing r:id="rId3"/>
  <legacyDrawing r:id="rId4"/>
  <mc:AlternateContent xmlns:mc="http://schemas.openxmlformats.org/markup-compatibility/2006">
    <mc:Choice Requires="x14">
      <controls>
        <mc:AlternateContent xmlns:mc="http://schemas.openxmlformats.org/markup-compatibility/2006">
          <mc:Choice Requires="x14">
            <control shapeId="7322" r:id="rId5" name="Button 154">
              <controlPr defaultSize="0" print="0" autoFill="0" autoPict="0" macro="[0]!EP">
                <anchor moveWithCells="1" sizeWithCells="1">
                  <from>
                    <xdr:col>14</xdr:col>
                    <xdr:colOff>83820</xdr:colOff>
                    <xdr:row>0</xdr:row>
                    <xdr:rowOff>83820</xdr:rowOff>
                  </from>
                  <to>
                    <xdr:col>14</xdr:col>
                    <xdr:colOff>502920</xdr:colOff>
                    <xdr:row>7</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pageSetUpPr fitToPage="1"/>
  </sheetPr>
  <dimension ref="A1:N81"/>
  <sheetViews>
    <sheetView topLeftCell="A22" workbookViewId="0">
      <selection activeCell="D45" sqref="D45:J45"/>
    </sheetView>
  </sheetViews>
  <sheetFormatPr defaultColWidth="9.109375" defaultRowHeight="14.4" x14ac:dyDescent="0.3"/>
  <cols>
    <col min="1" max="1" width="9.109375" style="2"/>
    <col min="2" max="3" width="6.44140625" style="2" customWidth="1"/>
    <col min="4" max="5" width="9.109375" style="2"/>
    <col min="6" max="6" width="4.5546875" style="2" customWidth="1"/>
    <col min="7" max="7" width="8.5546875" style="2" customWidth="1"/>
    <col min="8" max="8" width="4.44140625" style="2" customWidth="1"/>
    <col min="9" max="9" width="19.109375" style="2" customWidth="1"/>
    <col min="10" max="10" width="4.88671875" style="2" customWidth="1"/>
    <col min="11" max="11" width="3.44140625" style="2" customWidth="1"/>
    <col min="12" max="12" width="10.33203125" style="2" customWidth="1"/>
    <col min="13" max="13" width="11" style="2" customWidth="1"/>
    <col min="14" max="14" width="9.109375" style="2" hidden="1" customWidth="1"/>
    <col min="15" max="16384" width="9.109375" style="2"/>
  </cols>
  <sheetData>
    <row r="1" spans="1:14" s="1" customFormat="1" ht="15" customHeight="1" x14ac:dyDescent="0.3">
      <c r="A1" s="8"/>
      <c r="B1" s="9"/>
      <c r="C1" s="10"/>
      <c r="D1" s="315"/>
      <c r="E1" s="316"/>
      <c r="F1" s="316"/>
      <c r="G1" s="317"/>
      <c r="H1" s="318" t="s">
        <v>20</v>
      </c>
      <c r="I1" s="319"/>
      <c r="J1" s="319"/>
      <c r="K1" s="320" t="s">
        <v>21</v>
      </c>
      <c r="L1" s="321"/>
    </row>
    <row r="2" spans="1:14" s="1" customFormat="1" ht="15" customHeight="1" x14ac:dyDescent="0.3">
      <c r="A2" s="11"/>
      <c r="B2" s="7"/>
      <c r="C2" s="12"/>
      <c r="D2" s="18"/>
      <c r="E2" s="19"/>
      <c r="F2" s="19"/>
      <c r="G2" s="20"/>
      <c r="H2" s="322">
        <v>264</v>
      </c>
      <c r="I2" s="323"/>
      <c r="J2" s="324"/>
      <c r="K2" s="331">
        <v>43101</v>
      </c>
      <c r="L2" s="332"/>
    </row>
    <row r="3" spans="1:14" s="1" customFormat="1" ht="15" customHeight="1" x14ac:dyDescent="0.3">
      <c r="A3" s="11"/>
      <c r="B3" s="7"/>
      <c r="C3" s="12"/>
      <c r="D3" s="18"/>
      <c r="E3" s="19"/>
      <c r="F3" s="19"/>
      <c r="G3" s="20"/>
      <c r="H3" s="325"/>
      <c r="I3" s="326"/>
      <c r="J3" s="327"/>
      <c r="K3" s="333"/>
      <c r="L3" s="334"/>
    </row>
    <row r="4" spans="1:14" s="1" customFormat="1" ht="15" customHeight="1" x14ac:dyDescent="0.3">
      <c r="A4" s="11"/>
      <c r="B4" s="7"/>
      <c r="C4" s="12"/>
      <c r="D4" s="18"/>
      <c r="E4" s="19"/>
      <c r="F4" s="19"/>
      <c r="G4" s="20"/>
      <c r="H4" s="325"/>
      <c r="I4" s="326"/>
      <c r="J4" s="327"/>
      <c r="K4" s="333"/>
      <c r="L4" s="334"/>
    </row>
    <row r="5" spans="1:14" s="1" customFormat="1" ht="15" customHeight="1" thickBot="1" x14ac:dyDescent="0.35">
      <c r="A5" s="13"/>
      <c r="B5" s="14"/>
      <c r="C5" s="15"/>
      <c r="D5" s="21"/>
      <c r="E5" s="22"/>
      <c r="F5" s="22"/>
      <c r="G5" s="23"/>
      <c r="H5" s="328"/>
      <c r="I5" s="329"/>
      <c r="J5" s="330"/>
      <c r="K5" s="335"/>
      <c r="L5" s="336"/>
    </row>
    <row r="6" spans="1:14" ht="15" customHeight="1" x14ac:dyDescent="0.3">
      <c r="A6" s="337"/>
      <c r="B6" s="338"/>
      <c r="C6" s="338"/>
      <c r="D6" s="339" t="s">
        <v>22</v>
      </c>
      <c r="E6" s="339"/>
      <c r="F6" s="339"/>
      <c r="G6" s="339"/>
      <c r="H6" s="339" t="s">
        <v>23</v>
      </c>
      <c r="I6" s="339"/>
      <c r="J6" s="339"/>
      <c r="K6" s="339"/>
      <c r="L6" s="340"/>
    </row>
    <row r="7" spans="1:14" ht="15" customHeight="1" x14ac:dyDescent="0.3">
      <c r="A7" s="28"/>
      <c r="B7" s="16"/>
      <c r="C7" s="17"/>
      <c r="D7" s="298"/>
      <c r="E7" s="299"/>
      <c r="F7" s="299"/>
      <c r="G7" s="300"/>
      <c r="H7" s="298"/>
      <c r="I7" s="299"/>
      <c r="J7" s="300"/>
      <c r="K7" s="298" t="s">
        <v>101</v>
      </c>
      <c r="L7" s="300"/>
    </row>
    <row r="8" spans="1:14" ht="15" customHeight="1" x14ac:dyDescent="0.3">
      <c r="A8" s="28"/>
      <c r="B8" s="16"/>
      <c r="C8" s="17"/>
      <c r="D8" s="301"/>
      <c r="E8" s="302"/>
      <c r="F8" s="302"/>
      <c r="G8" s="303"/>
      <c r="H8" s="301"/>
      <c r="I8" s="302"/>
      <c r="J8" s="303"/>
      <c r="K8" s="301"/>
      <c r="L8" s="303"/>
    </row>
    <row r="9" spans="1:14" ht="24.75" customHeight="1" thickBot="1" x14ac:dyDescent="0.35">
      <c r="A9" s="28"/>
      <c r="B9" s="16"/>
      <c r="C9" s="17"/>
      <c r="D9" s="301"/>
      <c r="E9" s="302"/>
      <c r="F9" s="302"/>
      <c r="G9" s="303"/>
      <c r="H9" s="301"/>
      <c r="I9" s="302"/>
      <c r="J9" s="303"/>
      <c r="K9" s="304"/>
      <c r="L9" s="305"/>
    </row>
    <row r="10" spans="1:14" ht="24.75" customHeight="1" thickBot="1" x14ac:dyDescent="0.35">
      <c r="A10" s="311" t="s">
        <v>90</v>
      </c>
      <c r="B10" s="312"/>
      <c r="C10" s="147" t="s">
        <v>94</v>
      </c>
      <c r="D10" s="311" t="s">
        <v>91</v>
      </c>
      <c r="E10" s="312"/>
      <c r="F10" s="148"/>
      <c r="G10" s="149" t="s">
        <v>92</v>
      </c>
      <c r="H10" s="150"/>
      <c r="I10" s="149" t="s">
        <v>93</v>
      </c>
      <c r="J10" s="151"/>
      <c r="K10" s="313" t="s">
        <v>98</v>
      </c>
      <c r="L10" s="314"/>
      <c r="M10" s="35"/>
      <c r="N10" s="2">
        <f>IF(C10="X",18.5,IF(H10="X",9.5,6.5))</f>
        <v>18.5</v>
      </c>
    </row>
    <row r="11" spans="1:14" ht="16.5" customHeight="1" x14ac:dyDescent="0.3">
      <c r="A11" s="24" t="s">
        <v>24</v>
      </c>
      <c r="B11" s="306" t="s">
        <v>25</v>
      </c>
      <c r="C11" s="307"/>
      <c r="D11" s="308" t="s">
        <v>26</v>
      </c>
      <c r="E11" s="309"/>
      <c r="F11" s="309"/>
      <c r="G11" s="309"/>
      <c r="H11" s="309"/>
      <c r="I11" s="310"/>
      <c r="J11" s="310"/>
      <c r="K11" s="306" t="s">
        <v>27</v>
      </c>
      <c r="L11" s="307"/>
    </row>
    <row r="12" spans="1:14" ht="18" customHeight="1" x14ac:dyDescent="0.3">
      <c r="A12" s="25">
        <v>1</v>
      </c>
      <c r="B12" s="296"/>
      <c r="C12" s="297"/>
      <c r="D12" s="282"/>
      <c r="E12" s="283"/>
      <c r="F12" s="283"/>
      <c r="G12" s="283"/>
      <c r="H12" s="283"/>
      <c r="I12" s="284"/>
      <c r="J12" s="284"/>
      <c r="K12" s="280">
        <f>B12*$N$10</f>
        <v>0</v>
      </c>
      <c r="L12" s="281"/>
    </row>
    <row r="13" spans="1:14" ht="18" customHeight="1" x14ac:dyDescent="0.3">
      <c r="A13" s="25">
        <v>2</v>
      </c>
      <c r="B13" s="280"/>
      <c r="C13" s="281"/>
      <c r="D13" s="282"/>
      <c r="E13" s="283"/>
      <c r="F13" s="283"/>
      <c r="G13" s="283"/>
      <c r="H13" s="283"/>
      <c r="I13" s="284"/>
      <c r="J13" s="284"/>
      <c r="K13" s="280">
        <f t="shared" ref="K13:K42" si="0">B13*$N$10</f>
        <v>0</v>
      </c>
      <c r="L13" s="281"/>
    </row>
    <row r="14" spans="1:14" ht="18" customHeight="1" x14ac:dyDescent="0.3">
      <c r="A14" s="25">
        <v>3</v>
      </c>
      <c r="B14" s="280"/>
      <c r="C14" s="281"/>
      <c r="D14" s="282"/>
      <c r="E14" s="283"/>
      <c r="F14" s="283"/>
      <c r="G14" s="283"/>
      <c r="H14" s="283"/>
      <c r="I14" s="284"/>
      <c r="J14" s="284"/>
      <c r="K14" s="280">
        <f t="shared" si="0"/>
        <v>0</v>
      </c>
      <c r="L14" s="281"/>
    </row>
    <row r="15" spans="1:14" ht="18" customHeight="1" x14ac:dyDescent="0.3">
      <c r="A15" s="25">
        <v>4</v>
      </c>
      <c r="B15" s="280"/>
      <c r="C15" s="281"/>
      <c r="D15" s="282"/>
      <c r="E15" s="283"/>
      <c r="F15" s="283"/>
      <c r="G15" s="283"/>
      <c r="H15" s="283"/>
      <c r="I15" s="284"/>
      <c r="J15" s="284"/>
      <c r="K15" s="280">
        <f t="shared" si="0"/>
        <v>0</v>
      </c>
      <c r="L15" s="281"/>
    </row>
    <row r="16" spans="1:14" ht="18" customHeight="1" x14ac:dyDescent="0.3">
      <c r="A16" s="25">
        <v>5</v>
      </c>
      <c r="B16" s="280"/>
      <c r="C16" s="281"/>
      <c r="D16" s="282"/>
      <c r="E16" s="283"/>
      <c r="F16" s="283"/>
      <c r="G16" s="283"/>
      <c r="H16" s="283"/>
      <c r="I16" s="284"/>
      <c r="J16" s="284"/>
      <c r="K16" s="280">
        <f t="shared" si="0"/>
        <v>0</v>
      </c>
      <c r="L16" s="281"/>
    </row>
    <row r="17" spans="1:12" ht="18" customHeight="1" x14ac:dyDescent="0.3">
      <c r="A17" s="25">
        <v>6</v>
      </c>
      <c r="B17" s="280"/>
      <c r="C17" s="281"/>
      <c r="D17" s="293"/>
      <c r="E17" s="294"/>
      <c r="F17" s="294"/>
      <c r="G17" s="294"/>
      <c r="H17" s="294"/>
      <c r="I17" s="294"/>
      <c r="J17" s="295"/>
      <c r="K17" s="280">
        <f t="shared" si="0"/>
        <v>0</v>
      </c>
      <c r="L17" s="281"/>
    </row>
    <row r="18" spans="1:12" ht="18" customHeight="1" x14ac:dyDescent="0.3">
      <c r="A18" s="25">
        <v>7</v>
      </c>
      <c r="B18" s="280"/>
      <c r="C18" s="281"/>
      <c r="D18" s="282"/>
      <c r="E18" s="283"/>
      <c r="F18" s="283"/>
      <c r="G18" s="283"/>
      <c r="H18" s="283"/>
      <c r="I18" s="284"/>
      <c r="J18" s="284"/>
      <c r="K18" s="280">
        <f t="shared" si="0"/>
        <v>0</v>
      </c>
      <c r="L18" s="281"/>
    </row>
    <row r="19" spans="1:12" ht="18" customHeight="1" x14ac:dyDescent="0.3">
      <c r="A19" s="25">
        <v>8</v>
      </c>
      <c r="B19" s="280"/>
      <c r="C19" s="281"/>
      <c r="D19" s="282"/>
      <c r="E19" s="283"/>
      <c r="F19" s="283"/>
      <c r="G19" s="283"/>
      <c r="H19" s="283"/>
      <c r="I19" s="284"/>
      <c r="J19" s="284"/>
      <c r="K19" s="280">
        <f t="shared" si="0"/>
        <v>0</v>
      </c>
      <c r="L19" s="281"/>
    </row>
    <row r="20" spans="1:12" ht="18" customHeight="1" x14ac:dyDescent="0.3">
      <c r="A20" s="25">
        <v>9</v>
      </c>
      <c r="B20" s="280"/>
      <c r="C20" s="281"/>
      <c r="D20" s="282"/>
      <c r="E20" s="283"/>
      <c r="F20" s="283"/>
      <c r="G20" s="283"/>
      <c r="H20" s="283"/>
      <c r="I20" s="284"/>
      <c r="J20" s="284"/>
      <c r="K20" s="280">
        <f t="shared" si="0"/>
        <v>0</v>
      </c>
      <c r="L20" s="281"/>
    </row>
    <row r="21" spans="1:12" ht="18" customHeight="1" x14ac:dyDescent="0.3">
      <c r="A21" s="25">
        <v>10</v>
      </c>
      <c r="B21" s="280"/>
      <c r="C21" s="281"/>
      <c r="D21" s="282"/>
      <c r="E21" s="283"/>
      <c r="F21" s="283"/>
      <c r="G21" s="283"/>
      <c r="H21" s="283"/>
      <c r="I21" s="284"/>
      <c r="J21" s="284"/>
      <c r="K21" s="280">
        <f t="shared" si="0"/>
        <v>0</v>
      </c>
      <c r="L21" s="281"/>
    </row>
    <row r="22" spans="1:12" ht="18" customHeight="1" x14ac:dyDescent="0.3">
      <c r="A22" s="25">
        <v>11</v>
      </c>
      <c r="B22" s="280"/>
      <c r="C22" s="281"/>
      <c r="D22" s="282"/>
      <c r="E22" s="283"/>
      <c r="F22" s="283"/>
      <c r="G22" s="283"/>
      <c r="H22" s="283"/>
      <c r="I22" s="284"/>
      <c r="J22" s="284"/>
      <c r="K22" s="280">
        <f t="shared" si="0"/>
        <v>0</v>
      </c>
      <c r="L22" s="281"/>
    </row>
    <row r="23" spans="1:12" ht="18" customHeight="1" x14ac:dyDescent="0.3">
      <c r="A23" s="25">
        <v>12</v>
      </c>
      <c r="B23" s="280"/>
      <c r="C23" s="281"/>
      <c r="D23" s="290"/>
      <c r="E23" s="291"/>
      <c r="F23" s="291"/>
      <c r="G23" s="291"/>
      <c r="H23" s="291"/>
      <c r="I23" s="292"/>
      <c r="J23" s="292"/>
      <c r="K23" s="280">
        <f t="shared" si="0"/>
        <v>0</v>
      </c>
      <c r="L23" s="281"/>
    </row>
    <row r="24" spans="1:12" ht="18" customHeight="1" x14ac:dyDescent="0.3">
      <c r="A24" s="25">
        <v>13</v>
      </c>
      <c r="B24" s="280"/>
      <c r="C24" s="281"/>
      <c r="D24" s="282"/>
      <c r="E24" s="283"/>
      <c r="F24" s="283"/>
      <c r="G24" s="283"/>
      <c r="H24" s="283"/>
      <c r="I24" s="284"/>
      <c r="J24" s="284"/>
      <c r="K24" s="280">
        <f t="shared" si="0"/>
        <v>0</v>
      </c>
      <c r="L24" s="281"/>
    </row>
    <row r="25" spans="1:12" ht="18" customHeight="1" x14ac:dyDescent="0.3">
      <c r="A25" s="25">
        <v>14</v>
      </c>
      <c r="B25" s="280"/>
      <c r="C25" s="281"/>
      <c r="D25" s="282"/>
      <c r="E25" s="283"/>
      <c r="F25" s="283"/>
      <c r="G25" s="283"/>
      <c r="H25" s="283"/>
      <c r="I25" s="284"/>
      <c r="J25" s="284"/>
      <c r="K25" s="280">
        <f t="shared" si="0"/>
        <v>0</v>
      </c>
      <c r="L25" s="281"/>
    </row>
    <row r="26" spans="1:12" ht="18" customHeight="1" x14ac:dyDescent="0.3">
      <c r="A26" s="25">
        <v>15</v>
      </c>
      <c r="B26" s="280"/>
      <c r="C26" s="281"/>
      <c r="D26" s="282"/>
      <c r="E26" s="283"/>
      <c r="F26" s="283"/>
      <c r="G26" s="283"/>
      <c r="H26" s="283"/>
      <c r="I26" s="284"/>
      <c r="J26" s="284"/>
      <c r="K26" s="280">
        <f t="shared" si="0"/>
        <v>0</v>
      </c>
      <c r="L26" s="281"/>
    </row>
    <row r="27" spans="1:12" ht="18" customHeight="1" x14ac:dyDescent="0.3">
      <c r="A27" s="25">
        <v>16</v>
      </c>
      <c r="B27" s="280"/>
      <c r="C27" s="281"/>
      <c r="D27" s="282"/>
      <c r="E27" s="283"/>
      <c r="F27" s="283"/>
      <c r="G27" s="283"/>
      <c r="H27" s="283"/>
      <c r="I27" s="284"/>
      <c r="J27" s="284"/>
      <c r="K27" s="280">
        <f t="shared" si="0"/>
        <v>0</v>
      </c>
      <c r="L27" s="281"/>
    </row>
    <row r="28" spans="1:12" ht="18" customHeight="1" x14ac:dyDescent="0.3">
      <c r="A28" s="25">
        <v>17</v>
      </c>
      <c r="B28" s="280"/>
      <c r="C28" s="281"/>
      <c r="D28" s="282"/>
      <c r="E28" s="283"/>
      <c r="F28" s="283"/>
      <c r="G28" s="283"/>
      <c r="H28" s="283"/>
      <c r="I28" s="284"/>
      <c r="J28" s="284"/>
      <c r="K28" s="280">
        <f t="shared" si="0"/>
        <v>0</v>
      </c>
      <c r="L28" s="281"/>
    </row>
    <row r="29" spans="1:12" ht="18" customHeight="1" x14ac:dyDescent="0.3">
      <c r="A29" s="25">
        <v>18</v>
      </c>
      <c r="B29" s="280"/>
      <c r="C29" s="281"/>
      <c r="D29" s="282"/>
      <c r="E29" s="283"/>
      <c r="F29" s="283"/>
      <c r="G29" s="283"/>
      <c r="H29" s="283"/>
      <c r="I29" s="284"/>
      <c r="J29" s="284"/>
      <c r="K29" s="280">
        <f t="shared" si="0"/>
        <v>0</v>
      </c>
      <c r="L29" s="281"/>
    </row>
    <row r="30" spans="1:12" ht="18" customHeight="1" x14ac:dyDescent="0.3">
      <c r="A30" s="25">
        <v>19</v>
      </c>
      <c r="B30" s="280"/>
      <c r="C30" s="281"/>
      <c r="D30" s="282"/>
      <c r="E30" s="283"/>
      <c r="F30" s="283"/>
      <c r="G30" s="283"/>
      <c r="H30" s="283"/>
      <c r="I30" s="284"/>
      <c r="J30" s="284"/>
      <c r="K30" s="280">
        <f t="shared" si="0"/>
        <v>0</v>
      </c>
      <c r="L30" s="281"/>
    </row>
    <row r="31" spans="1:12" ht="18" customHeight="1" x14ac:dyDescent="0.3">
      <c r="A31" s="25">
        <v>20</v>
      </c>
      <c r="B31" s="280"/>
      <c r="C31" s="281"/>
      <c r="D31" s="282"/>
      <c r="E31" s="283"/>
      <c r="F31" s="283"/>
      <c r="G31" s="283"/>
      <c r="H31" s="283"/>
      <c r="I31" s="284"/>
      <c r="J31" s="284"/>
      <c r="K31" s="280">
        <f t="shared" si="0"/>
        <v>0</v>
      </c>
      <c r="L31" s="281"/>
    </row>
    <row r="32" spans="1:12" ht="18" customHeight="1" x14ac:dyDescent="0.3">
      <c r="A32" s="25">
        <v>21</v>
      </c>
      <c r="B32" s="280"/>
      <c r="C32" s="281"/>
      <c r="D32" s="282"/>
      <c r="E32" s="283"/>
      <c r="F32" s="283"/>
      <c r="G32" s="283"/>
      <c r="H32" s="283"/>
      <c r="I32" s="284"/>
      <c r="J32" s="284"/>
      <c r="K32" s="280">
        <f t="shared" si="0"/>
        <v>0</v>
      </c>
      <c r="L32" s="281"/>
    </row>
    <row r="33" spans="1:14" ht="18" customHeight="1" x14ac:dyDescent="0.3">
      <c r="A33" s="25">
        <v>22</v>
      </c>
      <c r="B33" s="280"/>
      <c r="C33" s="281"/>
      <c r="D33" s="282"/>
      <c r="E33" s="283"/>
      <c r="F33" s="283"/>
      <c r="G33" s="283"/>
      <c r="H33" s="283"/>
      <c r="I33" s="284"/>
      <c r="J33" s="284"/>
      <c r="K33" s="280">
        <f t="shared" si="0"/>
        <v>0</v>
      </c>
      <c r="L33" s="281"/>
    </row>
    <row r="34" spans="1:14" ht="18" customHeight="1" x14ac:dyDescent="0.3">
      <c r="A34" s="25">
        <v>23</v>
      </c>
      <c r="B34" s="280"/>
      <c r="C34" s="281"/>
      <c r="D34" s="290"/>
      <c r="E34" s="291"/>
      <c r="F34" s="291"/>
      <c r="G34" s="291"/>
      <c r="H34" s="291"/>
      <c r="I34" s="292"/>
      <c r="J34" s="292"/>
      <c r="K34" s="280">
        <f t="shared" si="0"/>
        <v>0</v>
      </c>
      <c r="L34" s="281"/>
    </row>
    <row r="35" spans="1:14" ht="18" customHeight="1" x14ac:dyDescent="0.3">
      <c r="A35" s="25">
        <v>24</v>
      </c>
      <c r="B35" s="280"/>
      <c r="C35" s="281"/>
      <c r="D35" s="282"/>
      <c r="E35" s="283"/>
      <c r="F35" s="283"/>
      <c r="G35" s="283"/>
      <c r="H35" s="283"/>
      <c r="I35" s="284"/>
      <c r="J35" s="284"/>
      <c r="K35" s="280">
        <f t="shared" si="0"/>
        <v>0</v>
      </c>
      <c r="L35" s="281"/>
    </row>
    <row r="36" spans="1:14" ht="18" customHeight="1" x14ac:dyDescent="0.3">
      <c r="A36" s="25">
        <v>25</v>
      </c>
      <c r="B36" s="280"/>
      <c r="C36" s="281"/>
      <c r="D36" s="282"/>
      <c r="E36" s="283"/>
      <c r="F36" s="283"/>
      <c r="G36" s="283"/>
      <c r="H36" s="283"/>
      <c r="I36" s="284"/>
      <c r="J36" s="284"/>
      <c r="K36" s="280">
        <f t="shared" si="0"/>
        <v>0</v>
      </c>
      <c r="L36" s="281"/>
    </row>
    <row r="37" spans="1:14" ht="18" customHeight="1" x14ac:dyDescent="0.3">
      <c r="A37" s="25">
        <v>26</v>
      </c>
      <c r="B37" s="280"/>
      <c r="C37" s="281"/>
      <c r="D37" s="282"/>
      <c r="E37" s="283"/>
      <c r="F37" s="283"/>
      <c r="G37" s="283"/>
      <c r="H37" s="283"/>
      <c r="I37" s="284"/>
      <c r="J37" s="284"/>
      <c r="K37" s="280">
        <f t="shared" si="0"/>
        <v>0</v>
      </c>
      <c r="L37" s="281"/>
    </row>
    <row r="38" spans="1:14" ht="18" customHeight="1" x14ac:dyDescent="0.3">
      <c r="A38" s="25">
        <v>27</v>
      </c>
      <c r="B38" s="280"/>
      <c r="C38" s="281"/>
      <c r="D38" s="282"/>
      <c r="E38" s="283"/>
      <c r="F38" s="283"/>
      <c r="G38" s="283"/>
      <c r="H38" s="283"/>
      <c r="I38" s="284"/>
      <c r="J38" s="284"/>
      <c r="K38" s="280">
        <f t="shared" si="0"/>
        <v>0</v>
      </c>
      <c r="L38" s="281"/>
    </row>
    <row r="39" spans="1:14" ht="18" customHeight="1" x14ac:dyDescent="0.3">
      <c r="A39" s="25">
        <v>28</v>
      </c>
      <c r="B39" s="280"/>
      <c r="C39" s="281"/>
      <c r="D39" s="282"/>
      <c r="E39" s="283"/>
      <c r="F39" s="283"/>
      <c r="G39" s="283"/>
      <c r="H39" s="283"/>
      <c r="I39" s="284"/>
      <c r="J39" s="284"/>
      <c r="K39" s="280">
        <f t="shared" si="0"/>
        <v>0</v>
      </c>
      <c r="L39" s="281"/>
    </row>
    <row r="40" spans="1:14" ht="18" customHeight="1" x14ac:dyDescent="0.3">
      <c r="A40" s="25">
        <v>29</v>
      </c>
      <c r="B40" s="280"/>
      <c r="C40" s="281"/>
      <c r="D40" s="282"/>
      <c r="E40" s="283"/>
      <c r="F40" s="283"/>
      <c r="G40" s="283"/>
      <c r="H40" s="283"/>
      <c r="I40" s="284"/>
      <c r="J40" s="284"/>
      <c r="K40" s="280">
        <f t="shared" si="0"/>
        <v>0</v>
      </c>
      <c r="L40" s="281"/>
    </row>
    <row r="41" spans="1:14" ht="18" customHeight="1" x14ac:dyDescent="0.3">
      <c r="A41" s="25">
        <v>30</v>
      </c>
      <c r="B41" s="280"/>
      <c r="C41" s="281"/>
      <c r="D41" s="282"/>
      <c r="E41" s="283"/>
      <c r="F41" s="283"/>
      <c r="G41" s="283"/>
      <c r="H41" s="283"/>
      <c r="I41" s="284"/>
      <c r="J41" s="284"/>
      <c r="K41" s="280">
        <f t="shared" si="0"/>
        <v>0</v>
      </c>
      <c r="L41" s="281"/>
    </row>
    <row r="42" spans="1:14" ht="18" customHeight="1" thickBot="1" x14ac:dyDescent="0.35">
      <c r="A42" s="26">
        <v>31</v>
      </c>
      <c r="B42" s="285"/>
      <c r="C42" s="286"/>
      <c r="D42" s="287"/>
      <c r="E42" s="288"/>
      <c r="F42" s="288"/>
      <c r="G42" s="288"/>
      <c r="H42" s="288"/>
      <c r="I42" s="289"/>
      <c r="J42" s="289"/>
      <c r="K42" s="280">
        <f t="shared" si="0"/>
        <v>0</v>
      </c>
      <c r="L42" s="281"/>
    </row>
    <row r="43" spans="1:14" ht="21.75" customHeight="1" thickBot="1" x14ac:dyDescent="0.45">
      <c r="A43" s="27"/>
      <c r="B43" s="269">
        <f>SUM(B12:C42)</f>
        <v>0</v>
      </c>
      <c r="C43" s="270"/>
      <c r="D43" s="271" t="s">
        <v>99</v>
      </c>
      <c r="E43" s="272"/>
      <c r="F43" s="272"/>
      <c r="H43" s="278" t="s">
        <v>28</v>
      </c>
      <c r="I43" s="278"/>
      <c r="J43" s="279"/>
      <c r="K43" s="273">
        <f>SUM(K12:K42)</f>
        <v>0</v>
      </c>
      <c r="L43" s="274"/>
    </row>
    <row r="44" spans="1:14" x14ac:dyDescent="0.3">
      <c r="A44" s="275" t="s">
        <v>24</v>
      </c>
      <c r="B44" s="276"/>
      <c r="C44" s="276"/>
      <c r="D44" s="276" t="s">
        <v>16</v>
      </c>
      <c r="E44" s="276"/>
      <c r="F44" s="276"/>
      <c r="G44" s="276"/>
      <c r="H44" s="276"/>
      <c r="I44" s="276"/>
      <c r="J44" s="276"/>
      <c r="K44" s="277" t="s">
        <v>29</v>
      </c>
      <c r="L44" s="277"/>
    </row>
    <row r="45" spans="1:14" ht="24" customHeight="1" thickBot="1" x14ac:dyDescent="0.45">
      <c r="A45" s="262"/>
      <c r="B45" s="263"/>
      <c r="C45" s="264"/>
      <c r="D45" s="265" t="s">
        <v>108</v>
      </c>
      <c r="E45" s="266"/>
      <c r="F45" s="266"/>
      <c r="G45" s="266"/>
      <c r="H45" s="266"/>
      <c r="I45" s="266"/>
      <c r="J45" s="267"/>
      <c r="K45" s="268"/>
      <c r="L45" s="268"/>
      <c r="N45" s="3"/>
    </row>
    <row r="46" spans="1:14" x14ac:dyDescent="0.3">
      <c r="A46" s="4"/>
    </row>
    <row r="47" spans="1:14" ht="15.6" x14ac:dyDescent="0.3">
      <c r="A47" s="5"/>
      <c r="B47" s="5"/>
      <c r="C47" s="5"/>
      <c r="D47" s="5"/>
      <c r="E47" s="5"/>
      <c r="F47" s="5"/>
      <c r="G47" s="5"/>
      <c r="H47" s="5"/>
      <c r="I47" s="5"/>
      <c r="J47" s="5"/>
      <c r="K47" s="6"/>
    </row>
    <row r="48" spans="1:14" ht="15.6" x14ac:dyDescent="0.3">
      <c r="A48" s="6"/>
      <c r="B48" s="5"/>
      <c r="C48" s="5"/>
      <c r="D48" s="5"/>
      <c r="E48" s="5"/>
      <c r="F48" s="5"/>
      <c r="G48" s="5"/>
      <c r="H48" s="5"/>
      <c r="I48" s="5"/>
      <c r="J48" s="5"/>
      <c r="K48" s="6"/>
    </row>
    <row r="49" spans="1:7" x14ac:dyDescent="0.3">
      <c r="A49" s="4"/>
    </row>
    <row r="50" spans="1:7" x14ac:dyDescent="0.3">
      <c r="A50" s="4"/>
    </row>
    <row r="53" spans="1:7" x14ac:dyDescent="0.3">
      <c r="E53" s="1"/>
      <c r="F53" s="1"/>
      <c r="G53" s="1"/>
    </row>
    <row r="54" spans="1:7" x14ac:dyDescent="0.3">
      <c r="E54" s="1"/>
      <c r="F54" s="1"/>
      <c r="G54" s="1"/>
    </row>
    <row r="55" spans="1:7" x14ac:dyDescent="0.3">
      <c r="E55" s="1"/>
      <c r="F55" s="1"/>
      <c r="G55" s="1"/>
    </row>
    <row r="56" spans="1:7" x14ac:dyDescent="0.3">
      <c r="A56" s="4"/>
      <c r="E56" s="1"/>
      <c r="F56" s="1"/>
      <c r="G56" s="1"/>
    </row>
    <row r="57" spans="1:7" x14ac:dyDescent="0.3">
      <c r="A57" s="4"/>
      <c r="E57" s="1"/>
      <c r="F57" s="1"/>
      <c r="G57" s="1"/>
    </row>
    <row r="58" spans="1:7" x14ac:dyDescent="0.3">
      <c r="A58" s="4"/>
      <c r="E58" s="1"/>
      <c r="F58" s="1"/>
      <c r="G58" s="1"/>
    </row>
    <row r="59" spans="1:7" x14ac:dyDescent="0.3">
      <c r="A59" s="4"/>
    </row>
    <row r="60" spans="1:7" x14ac:dyDescent="0.3">
      <c r="A60" s="4"/>
    </row>
    <row r="61" spans="1:7" x14ac:dyDescent="0.3">
      <c r="A61" s="4"/>
    </row>
    <row r="62" spans="1:7" x14ac:dyDescent="0.3">
      <c r="A62" s="4"/>
    </row>
    <row r="63" spans="1:7" x14ac:dyDescent="0.3">
      <c r="A63" s="4"/>
    </row>
    <row r="64" spans="1:7" x14ac:dyDescent="0.3">
      <c r="A64" s="4"/>
    </row>
    <row r="65" spans="1:1" x14ac:dyDescent="0.3">
      <c r="A65" s="4"/>
    </row>
    <row r="66" spans="1:1" x14ac:dyDescent="0.3">
      <c r="A66" s="4"/>
    </row>
    <row r="67" spans="1:1" x14ac:dyDescent="0.3">
      <c r="A67" s="4"/>
    </row>
    <row r="68" spans="1:1" x14ac:dyDescent="0.3">
      <c r="A68" s="4"/>
    </row>
    <row r="69" spans="1:1" x14ac:dyDescent="0.3">
      <c r="A69" s="4"/>
    </row>
    <row r="70" spans="1:1" x14ac:dyDescent="0.3">
      <c r="A70" s="4"/>
    </row>
    <row r="71" spans="1:1" x14ac:dyDescent="0.3">
      <c r="A71" s="4"/>
    </row>
    <row r="72" spans="1:1" x14ac:dyDescent="0.3">
      <c r="A72" s="4"/>
    </row>
    <row r="73" spans="1:1" x14ac:dyDescent="0.3">
      <c r="A73" s="4"/>
    </row>
    <row r="74" spans="1:1" x14ac:dyDescent="0.3">
      <c r="A74" s="4"/>
    </row>
    <row r="75" spans="1:1" x14ac:dyDescent="0.3">
      <c r="A75" s="4"/>
    </row>
    <row r="76" spans="1:1" x14ac:dyDescent="0.3">
      <c r="A76" s="4"/>
    </row>
    <row r="77" spans="1:1" x14ac:dyDescent="0.3">
      <c r="A77" s="4"/>
    </row>
    <row r="78" spans="1:1" x14ac:dyDescent="0.3">
      <c r="A78" s="4"/>
    </row>
    <row r="79" spans="1:1" x14ac:dyDescent="0.3">
      <c r="A79" s="4"/>
    </row>
    <row r="80" spans="1:1" x14ac:dyDescent="0.3">
      <c r="A80" s="4"/>
    </row>
    <row r="81" spans="1:1" x14ac:dyDescent="0.3">
      <c r="A81" s="4"/>
    </row>
  </sheetData>
  <mergeCells count="121">
    <mergeCell ref="D1:G1"/>
    <mergeCell ref="H1:J1"/>
    <mergeCell ref="K1:L1"/>
    <mergeCell ref="H2:J5"/>
    <mergeCell ref="K2:L5"/>
    <mergeCell ref="A6:C6"/>
    <mergeCell ref="D6:G6"/>
    <mergeCell ref="H6:J6"/>
    <mergeCell ref="K6:L6"/>
    <mergeCell ref="B12:C12"/>
    <mergeCell ref="D12:J12"/>
    <mergeCell ref="K12:L12"/>
    <mergeCell ref="B13:C13"/>
    <mergeCell ref="D13:J13"/>
    <mergeCell ref="K13:L13"/>
    <mergeCell ref="D7:G9"/>
    <mergeCell ref="H7:J9"/>
    <mergeCell ref="K7:L9"/>
    <mergeCell ref="B11:C11"/>
    <mergeCell ref="D11:J11"/>
    <mergeCell ref="K11:L11"/>
    <mergeCell ref="A10:B10"/>
    <mergeCell ref="D10:E10"/>
    <mergeCell ref="K10:L10"/>
    <mergeCell ref="B16:C16"/>
    <mergeCell ref="D16:J16"/>
    <mergeCell ref="K16:L16"/>
    <mergeCell ref="B17:C17"/>
    <mergeCell ref="K17:L17"/>
    <mergeCell ref="B18:C18"/>
    <mergeCell ref="D18:J18"/>
    <mergeCell ref="K18:L18"/>
    <mergeCell ref="B14:C14"/>
    <mergeCell ref="D14:J14"/>
    <mergeCell ref="K14:L14"/>
    <mergeCell ref="B15:C15"/>
    <mergeCell ref="D15:J15"/>
    <mergeCell ref="K15:L15"/>
    <mergeCell ref="D17:J17"/>
    <mergeCell ref="B21:C21"/>
    <mergeCell ref="D21:J21"/>
    <mergeCell ref="K21:L21"/>
    <mergeCell ref="B22:C22"/>
    <mergeCell ref="D22:J22"/>
    <mergeCell ref="K22:L22"/>
    <mergeCell ref="B19:C19"/>
    <mergeCell ref="D19:J19"/>
    <mergeCell ref="K19:L19"/>
    <mergeCell ref="B20:C20"/>
    <mergeCell ref="D20:J20"/>
    <mergeCell ref="K20:L20"/>
    <mergeCell ref="B25:C25"/>
    <mergeCell ref="D25:J25"/>
    <mergeCell ref="K25:L25"/>
    <mergeCell ref="B26:C26"/>
    <mergeCell ref="D26:J26"/>
    <mergeCell ref="K26:L26"/>
    <mergeCell ref="B23:C23"/>
    <mergeCell ref="D23:J23"/>
    <mergeCell ref="K23:L23"/>
    <mergeCell ref="B24:C24"/>
    <mergeCell ref="D24:J24"/>
    <mergeCell ref="K24:L24"/>
    <mergeCell ref="B29:C29"/>
    <mergeCell ref="D29:J29"/>
    <mergeCell ref="K29:L29"/>
    <mergeCell ref="B30:C30"/>
    <mergeCell ref="D30:J30"/>
    <mergeCell ref="K30:L30"/>
    <mergeCell ref="B27:C27"/>
    <mergeCell ref="D27:J27"/>
    <mergeCell ref="K27:L27"/>
    <mergeCell ref="B28:C28"/>
    <mergeCell ref="D28:J28"/>
    <mergeCell ref="K28:L28"/>
    <mergeCell ref="B33:C33"/>
    <mergeCell ref="D33:J33"/>
    <mergeCell ref="K33:L33"/>
    <mergeCell ref="B34:C34"/>
    <mergeCell ref="D34:J34"/>
    <mergeCell ref="K34:L34"/>
    <mergeCell ref="B31:C31"/>
    <mergeCell ref="D31:J31"/>
    <mergeCell ref="K31:L31"/>
    <mergeCell ref="B32:C32"/>
    <mergeCell ref="D32:J32"/>
    <mergeCell ref="K32:L32"/>
    <mergeCell ref="B37:C37"/>
    <mergeCell ref="D37:J37"/>
    <mergeCell ref="K37:L37"/>
    <mergeCell ref="B38:C38"/>
    <mergeCell ref="D38:J38"/>
    <mergeCell ref="K38:L38"/>
    <mergeCell ref="B35:C35"/>
    <mergeCell ref="D35:J35"/>
    <mergeCell ref="K35:L35"/>
    <mergeCell ref="B36:C36"/>
    <mergeCell ref="D36:J36"/>
    <mergeCell ref="K36:L36"/>
    <mergeCell ref="B41:C41"/>
    <mergeCell ref="D41:J41"/>
    <mergeCell ref="K41:L41"/>
    <mergeCell ref="B42:C42"/>
    <mergeCell ref="D42:J42"/>
    <mergeCell ref="K42:L42"/>
    <mergeCell ref="B39:C39"/>
    <mergeCell ref="D39:J39"/>
    <mergeCell ref="K39:L39"/>
    <mergeCell ref="B40:C40"/>
    <mergeCell ref="D40:J40"/>
    <mergeCell ref="K40:L40"/>
    <mergeCell ref="A45:C45"/>
    <mergeCell ref="D45:J45"/>
    <mergeCell ref="K45:L45"/>
    <mergeCell ref="B43:C43"/>
    <mergeCell ref="D43:F43"/>
    <mergeCell ref="K43:L43"/>
    <mergeCell ref="A44:C44"/>
    <mergeCell ref="D44:J44"/>
    <mergeCell ref="K44:L44"/>
    <mergeCell ref="H43:J43"/>
  </mergeCells>
  <pageMargins left="0.7" right="0.7" top="0.75" bottom="0.75" header="0.3" footer="0.3"/>
  <pageSetup paperSize="9" scale="98"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10</vt:i4>
      </vt:variant>
    </vt:vector>
  </HeadingPairs>
  <TitlesOfParts>
    <vt:vector size="12" baseType="lpstr">
      <vt:lpstr>Mars 2018</vt:lpstr>
      <vt:lpstr>Interna mil</vt:lpstr>
      <vt:lpstr>anstnr</vt:lpstr>
      <vt:lpstr>anstnr_2</vt:lpstr>
      <vt:lpstr>b2b</vt:lpstr>
      <vt:lpstr>chef</vt:lpstr>
      <vt:lpstr>'Interna mil'!Print_Area</vt:lpstr>
      <vt:lpstr>'Mars 2018'!Print_Area</vt:lpstr>
      <vt:lpstr>projek_tid</vt:lpstr>
      <vt:lpstr>underskrift</vt:lpstr>
      <vt:lpstr>underskrift_2</vt:lpstr>
      <vt:lpstr>uppdrag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Fredrik</dc:creator>
  <cp:lastModifiedBy>Björk, Per</cp:lastModifiedBy>
  <cp:lastPrinted>2018-02-27T12:16:02Z</cp:lastPrinted>
  <dcterms:created xsi:type="dcterms:W3CDTF">2011-06-14T07:10:29Z</dcterms:created>
  <dcterms:modified xsi:type="dcterms:W3CDTF">2018-03-09T09:03:43Z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fea2623-af8f-4fb8-b1cf-b63cc8e496aa_Enabled">
    <vt:lpwstr>True</vt:lpwstr>
  </property>
  <property fmtid="{D5CDD505-2E9C-101B-9397-08002B2CF9AE}" pid="3" name="MSIP_Label_7fea2623-af8f-4fb8-b1cf-b63cc8e496aa_SiteId">
    <vt:lpwstr>81fa766e-a349-4867-8bf4-ab35e250a08f</vt:lpwstr>
  </property>
  <property fmtid="{D5CDD505-2E9C-101B-9397-08002B2CF9AE}" pid="4" name="MSIP_Label_7fea2623-af8f-4fb8-b1cf-b63cc8e496aa_Ref">
    <vt:lpwstr>https://api.informationprotection.azure.com/api/81fa766e-a349-4867-8bf4-ab35e250a08f</vt:lpwstr>
  </property>
  <property fmtid="{D5CDD505-2E9C-101B-9397-08002B2CF9AE}" pid="5" name="MSIP_Label_7fea2623-af8f-4fb8-b1cf-b63cc8e496aa_Owner">
    <vt:lpwstr>PBJORK3@volvocars.com</vt:lpwstr>
  </property>
  <property fmtid="{D5CDD505-2E9C-101B-9397-08002B2CF9AE}" pid="6" name="MSIP_Label_7fea2623-af8f-4fb8-b1cf-b63cc8e496aa_SetDate">
    <vt:lpwstr>2018-03-05T15:18:44.8062675+01:00</vt:lpwstr>
  </property>
  <property fmtid="{D5CDD505-2E9C-101B-9397-08002B2CF9AE}" pid="7" name="MSIP_Label_7fea2623-af8f-4fb8-b1cf-b63cc8e496aa_Name">
    <vt:lpwstr>Proprietary</vt:lpwstr>
  </property>
  <property fmtid="{D5CDD505-2E9C-101B-9397-08002B2CF9AE}" pid="8" name="MSIP_Label_7fea2623-af8f-4fb8-b1cf-b63cc8e496aa_Application">
    <vt:lpwstr>Microsoft Azure Information Protection</vt:lpwstr>
  </property>
  <property fmtid="{D5CDD505-2E9C-101B-9397-08002B2CF9AE}" pid="9" name="MSIP_Label_7fea2623-af8f-4fb8-b1cf-b63cc8e496aa_Extended_MSFT_Method">
    <vt:lpwstr>Automatic</vt:lpwstr>
  </property>
  <property fmtid="{D5CDD505-2E9C-101B-9397-08002B2CF9AE}" pid="10" name="Sensitivity">
    <vt:lpwstr>Proprietary</vt:lpwstr>
  </property>
</Properties>
</file>